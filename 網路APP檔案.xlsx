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46a2235ee143fe" /></Relationships>
</file>

<file path=xl/workbook.xml><?xml version="1.0" encoding="utf-8"?>
<x:workbook xmlns:x="http://schemas.openxmlformats.org/spreadsheetml/2006/main">
  <x:sheets>
    <x:sheet xmlns:r="http://schemas.openxmlformats.org/officeDocument/2006/relationships" name="Sheet1" sheetId="1" r:id="Rb58846cb1cc8428c"/>
  </x:sheets>
</x:workbook>
</file>

<file path=xl/sharedStrings.xml><?xml version="1.0" encoding="utf-8"?>
<x:sst xmlns:x="http://schemas.openxmlformats.org/spreadsheetml/2006/main">
  <x:si>
    <x:t xml:space="preserve">country</x:t>
  </x:si>
  <x:si>
    <x:t xml:space="preserve">na</x:t>
  </x:si>
  <x:si>
    <x:t xml:space="preserve">Country</x:t>
  </x:si>
  <x:si>
    <x:t xml:space="preserve">Groups</x:t>
  </x:si>
  <x:si>
    <x:t xml:space="preserve">Totalem</x:t>
  </x:si>
  <x:si>
    <x:t xml:space="preserve">Number of cows</x:t>
  </x:si>
  <x:si>
    <x:t xml:space="preserve">甲烷</x:t>
  </x:si>
  <x:si>
    <x:t xml:space="preserve">前面加總</x:t>
  </x:si>
  <x:si>
    <x:t xml:space="preserve">Cows-CO2</x:t>
  </x:si>
  <x:si>
    <x:t xml:space="preserve">Cow's CO2  impact </x:t>
  </x:si>
  <x:si>
    <x:t xml:space="preserve">Livestock CO2 Region</x:t>
  </x:si>
  <x:si>
    <x:t xml:space="preserve">Key national message</x:t>
  </x:si>
  <x:si>
    <x:t xml:space="preserve">經濟成本</x:t>
  </x:si>
  <x:si>
    <x:t xml:space="preserve">GDP (millon)</x:t>
  </x:si>
  <x:si>
    <x:t xml:space="preserve">COW's GDP impacts</x:t>
  </x:si>
  <x:si>
    <x:t xml:space="preserve">Livestock GDP Region</x:t>
  </x:si>
  <x:si>
    <x:t xml:space="preserve">LULUCF</x:t>
  </x:si>
  <x:si>
    <x:t xml:space="preserve">emission tons</x:t>
  </x:si>
  <x:si>
    <x:t xml:space="preserve">Net Zero Score --GHG-IPCC</x:t>
  </x:si>
  <x:si>
    <x:t xml:space="preserve">MY NZ Research Model Outome</x:t>
  </x:si>
  <x:si>
    <x:t xml:space="preserve">BEN</x:t>
  </x:si>
  <x:si>
    <x:t xml:space="preserve">BJ</x:t>
  </x:si>
  <x:si>
    <x:t xml:space="preserve">Benin</x:t>
  </x:si>
  <x:si>
    <x:t xml:space="preserve">Africa</x:t>
  </x:si>
  <x:si>
    <x:t xml:space="preserve">BWA</x:t>
  </x:si>
  <x:si>
    <x:t xml:space="preserve">BW</x:t>
  </x:si>
  <x:si>
    <x:t xml:space="preserve">Botswana</x:t>
  </x:si>
  <x:si>
    <x:t xml:space="preserve">BFA</x:t>
  </x:si>
  <x:si>
    <x:t xml:space="preserve">BF</x:t>
  </x:si>
  <x:si>
    <x:t xml:space="preserve">Burkina Faso</x:t>
  </x:si>
  <x:si>
    <x:t xml:space="preserve">BDI</x:t>
  </x:si>
  <x:si>
    <x:t xml:space="preserve">BI</x:t>
  </x:si>
  <x:si>
    <x:t xml:space="preserve">Burundi</x:t>
  </x:si>
  <x:si>
    <x:t xml:space="preserve">CMR</x:t>
  </x:si>
  <x:si>
    <x:t xml:space="preserve">CM</x:t>
  </x:si>
  <x:si>
    <x:t xml:space="preserve">Cameroon</x:t>
  </x:si>
  <x:si>
    <x:t xml:space="preserve">CPV</x:t>
  </x:si>
  <x:si>
    <x:t xml:space="preserve">CV</x:t>
  </x:si>
  <x:si>
    <x:t xml:space="preserve">Cape Verde</x:t>
  </x:si>
  <x:si>
    <x:t xml:space="preserve">Cabo Verde</x:t>
  </x:si>
  <x:si>
    <x:t xml:space="preserve">TCD</x:t>
  </x:si>
  <x:si>
    <x:t xml:space="preserve">TD</x:t>
  </x:si>
  <x:si>
    <x:t xml:space="preserve">Chad</x:t>
  </x:si>
  <x:si>
    <x:t xml:space="preserve">COM</x:t>
  </x:si>
  <x:si>
    <x:t xml:space="preserve">KM</x:t>
  </x:si>
  <x:si>
    <x:t xml:space="preserve">Comoros</x:t>
  </x:si>
  <x:si>
    <x:t xml:space="preserve">COD</x:t>
  </x:si>
  <x:si>
    <x:t xml:space="preserve">CD</x:t>
  </x:si>
  <x:si>
    <x:t xml:space="preserve">DR congo</x:t>
  </x:si>
  <x:si>
    <x:t xml:space="preserve">Democratic Republic of the Congo</x:t>
  </x:si>
  <x:si>
    <x:t xml:space="preserve">EGY</x:t>
  </x:si>
  <x:si>
    <x:t xml:space="preserve">EG</x:t>
  </x:si>
  <x:si>
    <x:t xml:space="preserve">Egypt</x:t>
  </x:si>
  <x:si>
    <x:t xml:space="preserve">ERI</x:t>
  </x:si>
  <x:si>
    <x:t xml:space="preserve">ER</x:t>
  </x:si>
  <x:si>
    <x:t xml:space="preserve">Eritrea</x:t>
  </x:si>
  <x:si>
    <x:t xml:space="preserve">ETH</x:t>
  </x:si>
  <x:si>
    <x:t xml:space="preserve">ET</x:t>
  </x:si>
  <x:si>
    <x:t xml:space="preserve">Ethiopia</x:t>
  </x:si>
  <x:si>
    <x:t xml:space="preserve">GMB</x:t>
  </x:si>
  <x:si>
    <x:t xml:space="preserve">GM</x:t>
  </x:si>
  <x:si>
    <x:t xml:space="preserve">Gambia</x:t>
  </x:si>
  <x:si>
    <x:t xml:space="preserve">GHA</x:t>
  </x:si>
  <x:si>
    <x:t xml:space="preserve">GH</x:t>
  </x:si>
  <x:si>
    <x:t xml:space="preserve">Ghana</x:t>
  </x:si>
  <x:si>
    <x:t xml:space="preserve">GIN</x:t>
  </x:si>
  <x:si>
    <x:t xml:space="preserve">GN</x:t>
  </x:si>
  <x:si>
    <x:t xml:space="preserve">Guinea</x:t>
  </x:si>
  <x:si>
    <x:t xml:space="preserve">GNB</x:t>
  </x:si>
  <x:si>
    <x:t xml:space="preserve">GW</x:t>
  </x:si>
  <x:si>
    <x:t xml:space="preserve">Guinea-Bissau</x:t>
  </x:si>
  <x:si>
    <x:t xml:space="preserve">CIV</x:t>
  </x:si>
  <x:si>
    <x:t xml:space="preserve">CI</x:t>
  </x:si>
  <x:si>
    <x:t xml:space="preserve">Ivory Coast</x:t>
  </x:si>
  <x:si>
    <x:t xml:space="preserve">Ivory coast</x:t>
  </x:si>
  <x:si>
    <x:t xml:space="preserve">KEN</x:t>
  </x:si>
  <x:si>
    <x:t xml:space="preserve">KE</x:t>
  </x:si>
  <x:si>
    <x:t xml:space="preserve">Kenya</x:t>
  </x:si>
  <x:si>
    <x:t xml:space="preserve">LSO</x:t>
  </x:si>
  <x:si>
    <x:t xml:space="preserve">LS</x:t>
  </x:si>
  <x:si>
    <x:t xml:space="preserve">Lesotho</x:t>
  </x:si>
  <x:si>
    <x:t xml:space="preserve">LBR</x:t>
  </x:si>
  <x:si>
    <x:t xml:space="preserve">LR</x:t>
  </x:si>
  <x:si>
    <x:t xml:space="preserve">Liberia</x:t>
  </x:si>
  <x:si>
    <x:t xml:space="preserve">MDG</x:t>
  </x:si>
  <x:si>
    <x:t xml:space="preserve">MG</x:t>
  </x:si>
  <x:si>
    <x:t xml:space="preserve">Madagascar</x:t>
  </x:si>
  <x:si>
    <x:t xml:space="preserve">Malawi</x:t>
  </x:si>
  <x:si>
    <x:t xml:space="preserve">MWI</x:t>
  </x:si>
  <x:si>
    <x:t xml:space="preserve">MW</x:t>
  </x:si>
  <x:si>
    <x:t xml:space="preserve">Malaysia</x:t>
  </x:si>
  <x:si>
    <x:t xml:space="preserve">MLI</x:t>
  </x:si>
  <x:si>
    <x:t xml:space="preserve">ML</x:t>
  </x:si>
  <x:si>
    <x:t xml:space="preserve">Mali</x:t>
  </x:si>
  <x:si>
    <x:t xml:space="preserve">Malta</x:t>
  </x:si>
  <x:si>
    <x:t xml:space="preserve">MRT</x:t>
  </x:si>
  <x:si>
    <x:t xml:space="preserve">MR</x:t>
  </x:si>
  <x:si>
    <x:t xml:space="preserve">Mauritania</x:t>
  </x:si>
  <x:si>
    <x:t xml:space="preserve">Mauritius</x:t>
  </x:si>
  <x:si>
    <x:t xml:space="preserve">MUS</x:t>
  </x:si>
  <x:si>
    <x:t xml:space="preserve">MU</x:t>
  </x:si>
  <x:si>
    <x:t xml:space="preserve">Mexico</x:t>
  </x:si>
  <x:si>
    <x:t xml:space="preserve">MAR</x:t>
  </x:si>
  <x:si>
    <x:t xml:space="preserve">MA</x:t>
  </x:si>
  <x:si>
    <x:t xml:space="preserve">Morocco</x:t>
  </x:si>
  <x:si>
    <x:t xml:space="preserve">MOZ</x:t>
  </x:si>
  <x:si>
    <x:t xml:space="preserve">MZ</x:t>
  </x:si>
  <x:si>
    <x:t xml:space="preserve">Mozambique</x:t>
  </x:si>
  <x:si>
    <x:t xml:space="preserve">NAM</x:t>
  </x:si>
  <x:si>
    <x:t xml:space="preserve">NA</x:t>
  </x:si>
  <x:si>
    <x:t xml:space="preserve">Namibia</x:t>
  </x:si>
  <x:si>
    <x:t xml:space="preserve">NER</x:t>
  </x:si>
  <x:si>
    <x:t xml:space="preserve">NE</x:t>
  </x:si>
  <x:si>
    <x:t xml:space="preserve">Niger</x:t>
  </x:si>
  <x:si>
    <x:t xml:space="preserve">RWA</x:t>
  </x:si>
  <x:si>
    <x:t xml:space="preserve">RW</x:t>
  </x:si>
  <x:si>
    <x:t xml:space="preserve">Rwanda</x:t>
  </x:si>
  <x:si>
    <x:t xml:space="preserve">STP</x:t>
  </x:si>
  <x:si>
    <x:t xml:space="preserve">ST</x:t>
  </x:si>
  <x:si>
    <x:t xml:space="preserve">Sao Tome and Principe</x:t>
  </x:si>
  <x:si>
    <x:t xml:space="preserve">Samoa</x:t>
  </x:si>
  <x:si>
    <x:t xml:space="preserve">SEN</x:t>
  </x:si>
  <x:si>
    <x:t xml:space="preserve">SN</x:t>
  </x:si>
  <x:si>
    <x:t xml:space="preserve">Senegal</x:t>
  </x:si>
  <x:si>
    <x:t xml:space="preserve">SYC</x:t>
  </x:si>
  <x:si>
    <x:t xml:space="preserve">SC</x:t>
  </x:si>
  <x:si>
    <x:t xml:space="preserve">Seychelles</x:t>
  </x:si>
  <x:si>
    <x:t xml:space="preserve">SLE</x:t>
  </x:si>
  <x:si>
    <x:t xml:space="preserve">SL</x:t>
  </x:si>
  <x:si>
    <x:t xml:space="preserve">Sierra Leone</x:t>
  </x:si>
  <x:si>
    <x:t xml:space="preserve">SOM</x:t>
  </x:si>
  <x:si>
    <x:t xml:space="preserve">SO</x:t>
  </x:si>
  <x:si>
    <x:t xml:space="preserve">Somalia</x:t>
  </x:si>
  <x:si>
    <x:t xml:space="preserve">SSD</x:t>
  </x:si>
  <x:si>
    <x:t xml:space="preserve">SS</x:t>
  </x:si>
  <x:si>
    <x:t xml:space="preserve">South Sudan</x:t>
  </x:si>
  <x:si>
    <x:t xml:space="preserve">SDN</x:t>
  </x:si>
  <x:si>
    <x:t xml:space="preserve">SD</x:t>
  </x:si>
  <x:si>
    <x:t xml:space="preserve">Sudan</x:t>
  </x:si>
  <x:si>
    <x:t xml:space="preserve">TZA</x:t>
  </x:si>
  <x:si>
    <x:t xml:space="preserve">TZ</x:t>
  </x:si>
  <x:si>
    <x:t xml:space="preserve">Tanzania</x:t>
  </x:si>
  <x:si>
    <x:t xml:space="preserve">TGO</x:t>
  </x:si>
  <x:si>
    <x:t xml:space="preserve">TG</x:t>
  </x:si>
  <x:si>
    <x:t xml:space="preserve">Togo</x:t>
  </x:si>
  <x:si>
    <x:t xml:space="preserve">TUN</x:t>
  </x:si>
  <x:si>
    <x:t xml:space="preserve">TN</x:t>
  </x:si>
  <x:si>
    <x:t xml:space="preserve">Tunisia</x:t>
  </x:si>
  <x:si>
    <x:t xml:space="preserve">UGA</x:t>
  </x:si>
  <x:si>
    <x:t xml:space="preserve">UG</x:t>
  </x:si>
  <x:si>
    <x:t xml:space="preserve">Uganda</x:t>
  </x:si>
  <x:si>
    <x:t xml:space="preserve">ZMB</x:t>
  </x:si>
  <x:si>
    <x:t xml:space="preserve">ZM</x:t>
  </x:si>
  <x:si>
    <x:t xml:space="preserve">Zambia</x:t>
  </x:si>
  <x:si>
    <x:t xml:space="preserve">ZWE</x:t>
  </x:si>
  <x:si>
    <x:t xml:space="preserve">ZW</x:t>
  </x:si>
  <x:si>
    <x:t xml:space="preserve">Zimbabwe</x:t>
  </x:si>
  <x:si>
    <x:t xml:space="preserve">AFG</x:t>
  </x:si>
  <x:si>
    <x:t xml:space="preserve">AF</x:t>
  </x:si>
  <x:si>
    <x:t xml:space="preserve">Afghanistan</x:t>
  </x:si>
  <x:si>
    <x:t xml:space="preserve">Asia</x:t>
  </x:si>
  <x:si>
    <x:t xml:space="preserve">ARM</x:t>
  </x:si>
  <x:si>
    <x:t xml:space="preserve">AM</x:t>
  </x:si>
  <x:si>
    <x:t xml:space="preserve">Armenia</x:t>
  </x:si>
  <x:si>
    <x:t xml:space="preserve">AZE</x:t>
  </x:si>
  <x:si>
    <x:t xml:space="preserve">AZ</x:t>
  </x:si>
  <x:si>
    <x:t xml:space="preserve">Azerbaijan</x:t>
  </x:si>
  <x:si>
    <x:t xml:space="preserve">BHR</x:t>
  </x:si>
  <x:si>
    <x:t xml:space="preserve">BH</x:t>
  </x:si>
  <x:si>
    <x:t xml:space="preserve">Bahrain</x:t>
  </x:si>
  <x:si>
    <x:t xml:space="preserve">BGD</x:t>
  </x:si>
  <x:si>
    <x:t xml:space="preserve">BD</x:t>
  </x:si>
  <x:si>
    <x:t xml:space="preserve">Bangladesh</x:t>
  </x:si>
  <x:si>
    <x:t xml:space="preserve">BTN</x:t>
  </x:si>
  <x:si>
    <x:t xml:space="preserve">BM</x:t>
  </x:si>
  <x:si>
    <x:t xml:space="preserve">Bhutan</x:t>
  </x:si>
  <x:si>
    <x:t xml:space="preserve">KHM</x:t>
  </x:si>
  <x:si>
    <x:t xml:space="preserve">KH</x:t>
  </x:si>
  <x:si>
    <x:t xml:space="preserve">Cambodia</x:t>
  </x:si>
  <x:si>
    <x:t xml:space="preserve">GEO</x:t>
  </x:si>
  <x:si>
    <x:t xml:space="preserve">GE</x:t>
  </x:si>
  <x:si>
    <x:t xml:space="preserve">Georgia</x:t>
  </x:si>
  <x:si>
    <x:t xml:space="preserve">ISR</x:t>
  </x:si>
  <x:si>
    <x:t xml:space="preserve">IL</x:t>
  </x:si>
  <x:si>
    <x:t xml:space="preserve">Israel</x:t>
  </x:si>
  <x:si>
    <x:t xml:space="preserve">JOR</x:t>
  </x:si>
  <x:si>
    <x:t xml:space="preserve">JO</x:t>
  </x:si>
  <x:si>
    <x:t xml:space="preserve">Jordan</x:t>
  </x:si>
  <x:si>
    <x:t xml:space="preserve">KAZ</x:t>
  </x:si>
  <x:si>
    <x:t xml:space="preserve">KZ</x:t>
  </x:si>
  <x:si>
    <x:t xml:space="preserve">Kazakhstan</x:t>
  </x:si>
  <x:si>
    <x:t xml:space="preserve">KGZ</x:t>
  </x:si>
  <x:si>
    <x:t xml:space="preserve">KG</x:t>
  </x:si>
  <x:si>
    <x:t xml:space="preserve">Kyrgyzstan</x:t>
  </x:si>
  <x:si>
    <x:t xml:space="preserve">LAO</x:t>
  </x:si>
  <x:si>
    <x:t xml:space="preserve">LA</x:t>
  </x:si>
  <x:si>
    <x:t xml:space="preserve">Laos</x:t>
  </x:si>
  <x:si>
    <x:t xml:space="preserve">LBN</x:t>
  </x:si>
  <x:si>
    <x:t xml:space="preserve">LB</x:t>
  </x:si>
  <x:si>
    <x:t xml:space="preserve">Lebanon</x:t>
  </x:si>
  <x:si>
    <x:t xml:space="preserve">MYS</x:t>
  </x:si>
  <x:si>
    <x:t xml:space="preserve">MY</x:t>
  </x:si>
  <x:si>
    <x:t xml:space="preserve">Maldives</x:t>
  </x:si>
  <x:si>
    <x:t xml:space="preserve">MDV</x:t>
  </x:si>
  <x:si>
    <x:t xml:space="preserve">MV</x:t>
  </x:si>
  <x:si>
    <x:t xml:space="preserve">MNG</x:t>
  </x:si>
  <x:si>
    <x:t xml:space="preserve">MN</x:t>
  </x:si>
  <x:si>
    <x:t xml:space="preserve">Mongolia</x:t>
  </x:si>
  <x:si>
    <x:t xml:space="preserve">MMR</x:t>
  </x:si>
  <x:si>
    <x:t xml:space="preserve">MM</x:t>
  </x:si>
  <x:si>
    <x:t xml:space="preserve">Myanmar</x:t>
  </x:si>
  <x:si>
    <x:t xml:space="preserve">NPL</x:t>
  </x:si>
  <x:si>
    <x:t xml:space="preserve">NP</x:t>
  </x:si>
  <x:si>
    <x:t xml:space="preserve">Nepal</x:t>
  </x:si>
  <x:si>
    <x:t xml:space="preserve">PRK</x:t>
  </x:si>
  <x:si>
    <x:t xml:space="preserve">KP</x:t>
  </x:si>
  <x:si>
    <x:t xml:space="preserve">North Korea</x:t>
  </x:si>
  <x:si>
    <x:t xml:space="preserve">OMN</x:t>
  </x:si>
  <x:si>
    <x:t xml:space="preserve">OM</x:t>
  </x:si>
  <x:si>
    <x:t xml:space="preserve">Oman</x:t>
  </x:si>
  <x:si>
    <x:t xml:space="preserve">PHL</x:t>
  </x:si>
  <x:si>
    <x:t xml:space="preserve">PH</x:t>
  </x:si>
  <x:si>
    <x:t xml:space="preserve">Philippines</x:t>
  </x:si>
  <x:si>
    <x:t xml:space="preserve">QAT</x:t>
  </x:si>
  <x:si>
    <x:t xml:space="preserve">QA</x:t>
  </x:si>
  <x:si>
    <x:t xml:space="preserve">Qatar</x:t>
  </x:si>
  <x:si>
    <x:t xml:space="preserve">SGP</x:t>
  </x:si>
  <x:si>
    <x:t xml:space="preserve">SG</x:t>
  </x:si>
  <x:si>
    <x:t xml:space="preserve">Singapore</x:t>
  </x:si>
  <x:si>
    <x:t xml:space="preserve">LKA</x:t>
  </x:si>
  <x:si>
    <x:t xml:space="preserve">LK</x:t>
  </x:si>
  <x:si>
    <x:t xml:space="preserve">Sri Lanka</x:t>
  </x:si>
  <x:si>
    <x:t xml:space="preserve">SYR</x:t>
  </x:si>
  <x:si>
    <x:t xml:space="preserve">SY</x:t>
  </x:si>
  <x:si>
    <x:t xml:space="preserve">Syria</x:t>
  </x:si>
  <x:si>
    <x:t xml:space="preserve">TJK</x:t>
  </x:si>
  <x:si>
    <x:t xml:space="preserve">TJ</x:t>
  </x:si>
  <x:si>
    <x:t xml:space="preserve">Tajikistan</x:t>
  </x:si>
  <x:si>
    <x:t xml:space="preserve">TKM</x:t>
  </x:si>
  <x:si>
    <x:t xml:space="preserve">TM</x:t>
  </x:si>
  <x:si>
    <x:t xml:space="preserve">Turkmenistan</x:t>
  </x:si>
  <x:si>
    <x:t xml:space="preserve">UZB</x:t>
  </x:si>
  <x:si>
    <x:t xml:space="preserve">UZ</x:t>
  </x:si>
  <x:si>
    <x:t xml:space="preserve">Uzbekistan</x:t>
  </x:si>
  <x:si>
    <x:t xml:space="preserve">CHN</x:t>
  </x:si>
  <x:si>
    <x:t xml:space="preserve">CN</x:t>
  </x:si>
  <x:si>
    <x:t xml:space="preserve">China</x:t>
  </x:si>
  <x:si>
    <x:t xml:space="preserve">AUT</x:t>
  </x:si>
  <x:si>
    <x:t xml:space="preserve">AT</x:t>
  </x:si>
  <x:si>
    <x:t xml:space="preserve">Austria</x:t>
  </x:si>
  <x:si>
    <x:t xml:space="preserve">EU</x:t>
  </x:si>
  <x:si>
    <x:t xml:space="preserve">BEL</x:t>
  </x:si>
  <x:si>
    <x:t xml:space="preserve">BE</x:t>
  </x:si>
  <x:si>
    <x:t xml:space="preserve">Belgium</x:t>
  </x:si>
  <x:si>
    <x:t xml:space="preserve">BGR</x:t>
  </x:si>
  <x:si>
    <x:t xml:space="preserve">BG</x:t>
  </x:si>
  <x:si>
    <x:t xml:space="preserve">Bulgaria</x:t>
  </x:si>
  <x:si>
    <x:t xml:space="preserve">HRV</x:t>
  </x:si>
  <x:si>
    <x:t xml:space="preserve">HR</x:t>
  </x:si>
  <x:si>
    <x:t xml:space="preserve">Croatia</x:t>
  </x:si>
  <x:si>
    <x:t xml:space="preserve">CYP</x:t>
  </x:si>
  <x:si>
    <x:t xml:space="preserve">CY</x:t>
  </x:si>
  <x:si>
    <x:t xml:space="preserve">Cyprus</x:t>
  </x:si>
  <x:si>
    <x:t xml:space="preserve">CZE</x:t>
  </x:si>
  <x:si>
    <x:t xml:space="preserve">CZ</x:t>
  </x:si>
  <x:si>
    <x:t xml:space="preserve">Czech Republic</x:t>
  </x:si>
  <x:si>
    <x:t xml:space="preserve">DNK</x:t>
  </x:si>
  <x:si>
    <x:t xml:space="preserve">DK</x:t>
  </x:si>
  <x:si>
    <x:t xml:space="preserve">Denmark</x:t>
  </x:si>
  <x:si>
    <x:t xml:space="preserve">EST</x:t>
  </x:si>
  <x:si>
    <x:t xml:space="preserve">EE</x:t>
  </x:si>
  <x:si>
    <x:t xml:space="preserve">Estonia</x:t>
  </x:si>
  <x:si>
    <x:t xml:space="preserve">FIN</x:t>
  </x:si>
  <x:si>
    <x:t xml:space="preserve">FI</x:t>
  </x:si>
  <x:si>
    <x:t xml:space="preserve">Finland</x:t>
  </x:si>
  <x:si>
    <x:t xml:space="preserve">FRA</x:t>
  </x:si>
  <x:si>
    <x:t xml:space="preserve">FR</x:t>
  </x:si>
  <x:si>
    <x:t xml:space="preserve">France</x:t>
  </x:si>
  <x:si>
    <x:t xml:space="preserve">DEU</x:t>
  </x:si>
  <x:si>
    <x:t xml:space="preserve">DE</x:t>
  </x:si>
  <x:si>
    <x:t xml:space="preserve">Germany</x:t>
  </x:si>
  <x:si>
    <x:t xml:space="preserve">GRC</x:t>
  </x:si>
  <x:si>
    <x:t xml:space="preserve">GR</x:t>
  </x:si>
  <x:si>
    <x:t xml:space="preserve">Greece</x:t>
  </x:si>
  <x:si>
    <x:t xml:space="preserve">HUN</x:t>
  </x:si>
  <x:si>
    <x:t xml:space="preserve">HU</x:t>
  </x:si>
  <x:si>
    <x:t xml:space="preserve">Hungary</x:t>
  </x:si>
  <x:si>
    <x:t xml:space="preserve">IRL</x:t>
  </x:si>
  <x:si>
    <x:t xml:space="preserve">IE</x:t>
  </x:si>
  <x:si>
    <x:t xml:space="preserve">Ireland</x:t>
  </x:si>
  <x:si>
    <x:t xml:space="preserve">ITA</x:t>
  </x:si>
  <x:si>
    <x:t xml:space="preserve">IT</x:t>
  </x:si>
  <x:si>
    <x:t xml:space="preserve">Italy</x:t>
  </x:si>
  <x:si>
    <x:t xml:space="preserve">LVA</x:t>
  </x:si>
  <x:si>
    <x:t xml:space="preserve">LV</x:t>
  </x:si>
  <x:si>
    <x:t xml:space="preserve">Latvia</x:t>
  </x:si>
  <x:si>
    <x:t xml:space="preserve">LTU</x:t>
  </x:si>
  <x:si>
    <x:t xml:space="preserve">LT</x:t>
  </x:si>
  <x:si>
    <x:t xml:space="preserve">Lithuania</x:t>
  </x:si>
  <x:si>
    <x:t xml:space="preserve">LUX</x:t>
  </x:si>
  <x:si>
    <x:t xml:space="preserve">LU</x:t>
  </x:si>
  <x:si>
    <x:t xml:space="preserve">Luxembourg</x:t>
  </x:si>
  <x:si>
    <x:t xml:space="preserve">MLT</x:t>
  </x:si>
  <x:si>
    <x:t xml:space="preserve">MT</x:t>
  </x:si>
  <x:si>
    <x:t xml:space="preserve">Marshall Islands</x:t>
  </x:si>
  <x:si>
    <x:t xml:space="preserve">NLD</x:t>
  </x:si>
  <x:si>
    <x:t xml:space="preserve">NL</x:t>
  </x:si>
  <x:si>
    <x:t xml:space="preserve">Netherlands</x:t>
  </x:si>
  <x:si>
    <x:t xml:space="preserve">POL</x:t>
  </x:si>
  <x:si>
    <x:t xml:space="preserve">PL</x:t>
  </x:si>
  <x:si>
    <x:t xml:space="preserve">Poland</x:t>
  </x:si>
  <x:si>
    <x:t xml:space="preserve">PRT</x:t>
  </x:si>
  <x:si>
    <x:t xml:space="preserve">PT</x:t>
  </x:si>
  <x:si>
    <x:t xml:space="preserve">Portugal</x:t>
  </x:si>
  <x:si>
    <x:t xml:space="preserve">ROU</x:t>
  </x:si>
  <x:si>
    <x:t xml:space="preserve">RO</x:t>
  </x:si>
  <x:si>
    <x:t xml:space="preserve">Romania</x:t>
  </x:si>
  <x:si>
    <x:t xml:space="preserve">SVK</x:t>
  </x:si>
  <x:si>
    <x:t xml:space="preserve">SK</x:t>
  </x:si>
  <x:si>
    <x:t xml:space="preserve">Slovakia</x:t>
  </x:si>
  <x:si>
    <x:t xml:space="preserve">SVN</x:t>
  </x:si>
  <x:si>
    <x:t xml:space="preserve">SI</x:t>
  </x:si>
  <x:si>
    <x:t xml:space="preserve">Slovenia</x:t>
  </x:si>
  <x:si>
    <x:t xml:space="preserve">ESP</x:t>
  </x:si>
  <x:si>
    <x:t xml:space="preserve">ES</x:t>
  </x:si>
  <x:si>
    <x:t xml:space="preserve">Spain</x:t>
  </x:si>
  <x:si>
    <x:t xml:space="preserve">SWE</x:t>
  </x:si>
  <x:si>
    <x:t xml:space="preserve">SE</x:t>
  </x:si>
  <x:si>
    <x:t xml:space="preserve">Sweden</x:t>
  </x:si>
  <x:si>
    <x:t xml:space="preserve">BLZ</x:t>
  </x:si>
  <x:si>
    <x:t xml:space="preserve">BZ</x:t>
  </x:si>
  <x:si>
    <x:t xml:space="preserve">Belize</x:t>
  </x:si>
  <x:si>
    <x:t xml:space="preserve">LatAmerica</x:t>
  </x:si>
  <x:si>
    <x:t xml:space="preserve">BOL</x:t>
  </x:si>
  <x:si>
    <x:t xml:space="preserve">BT</x:t>
  </x:si>
  <x:si>
    <x:t xml:space="preserve">Bolivia</x:t>
  </x:si>
  <x:si>
    <x:t xml:space="preserve">CHL</x:t>
  </x:si>
  <x:si>
    <x:t xml:space="preserve">CL</x:t>
  </x:si>
  <x:si>
    <x:t xml:space="preserve">Chile</x:t>
  </x:si>
  <x:si>
    <x:t xml:space="preserve">COL</x:t>
  </x:si>
  <x:si>
    <x:t xml:space="preserve">CO</x:t>
  </x:si>
  <x:si>
    <x:t xml:space="preserve">Colombia</x:t>
  </x:si>
  <x:si>
    <x:t xml:space="preserve">CRI</x:t>
  </x:si>
  <x:si>
    <x:t xml:space="preserve">CR</x:t>
  </x:si>
  <x:si>
    <x:t xml:space="preserve">Costa Rica</x:t>
  </x:si>
  <x:si>
    <x:t xml:space="preserve">ECU</x:t>
  </x:si>
  <x:si>
    <x:t xml:space="preserve">EC</x:t>
  </x:si>
  <x:si>
    <x:t xml:space="preserve">Ecuador</x:t>
  </x:si>
  <x:si>
    <x:t xml:space="preserve">SLV</x:t>
  </x:si>
  <x:si>
    <x:t xml:space="preserve">SV</x:t>
  </x:si>
  <x:si>
    <x:t xml:space="preserve">El Salvador</x:t>
  </x:si>
  <x:si>
    <x:t xml:space="preserve">GTM</x:t>
  </x:si>
  <x:si>
    <x:t xml:space="preserve">GT</x:t>
  </x:si>
  <x:si>
    <x:t xml:space="preserve">Guatemala</x:t>
  </x:si>
  <x:si>
    <x:t xml:space="preserve">GUY</x:t>
  </x:si>
  <x:si>
    <x:t xml:space="preserve">GY</x:t>
  </x:si>
  <x:si>
    <x:t xml:space="preserve">Guyana</x:t>
  </x:si>
  <x:si>
    <x:t xml:space="preserve">HND</x:t>
  </x:si>
  <x:si>
    <x:t xml:space="preserve">HN</x:t>
  </x:si>
  <x:si>
    <x:t xml:space="preserve">Honduras</x:t>
  </x:si>
  <x:si>
    <x:t xml:space="preserve">NIC</x:t>
  </x:si>
  <x:si>
    <x:t xml:space="preserve">NI</x:t>
  </x:si>
  <x:si>
    <x:t xml:space="preserve">Nicaragua</x:t>
  </x:si>
  <x:si>
    <x:t xml:space="preserve">PAN</x:t>
  </x:si>
  <x:si>
    <x:t xml:space="preserve">PA</x:t>
  </x:si>
  <x:si>
    <x:t xml:space="preserve">Panama</x:t>
  </x:si>
  <x:si>
    <x:t xml:space="preserve">PRY</x:t>
  </x:si>
  <x:si>
    <x:t xml:space="preserve">PY</x:t>
  </x:si>
  <x:si>
    <x:t xml:space="preserve">Paraguay</x:t>
  </x:si>
  <x:si>
    <x:t xml:space="preserve">PER</x:t>
  </x:si>
  <x:si>
    <x:t xml:space="preserve">PE</x:t>
  </x:si>
  <x:si>
    <x:t xml:space="preserve">Peru</x:t>
  </x:si>
  <x:si>
    <x:t xml:space="preserve">SUR</x:t>
  </x:si>
  <x:si>
    <x:t xml:space="preserve">SR</x:t>
  </x:si>
  <x:si>
    <x:t xml:space="preserve">Suriname</x:t>
  </x:si>
  <x:si>
    <x:t xml:space="preserve">URY</x:t>
  </x:si>
  <x:si>
    <x:t xml:space="preserve">UY</x:t>
  </x:si>
  <x:si>
    <x:t xml:space="preserve">Uruguay</x:t>
  </x:si>
  <x:si>
    <x:t xml:space="preserve">DZA</x:t>
  </x:si>
  <x:si>
    <x:t xml:space="preserve">DZ</x:t>
  </x:si>
  <x:si>
    <x:t xml:space="preserve">Algeria</x:t>
  </x:si>
  <x:si>
    <x:t xml:space="preserve">OPEC</x:t>
  </x:si>
  <x:si>
    <x:t xml:space="preserve">AGO</x:t>
  </x:si>
  <x:si>
    <x:t xml:space="preserve">AO</x:t>
  </x:si>
  <x:si>
    <x:t xml:space="preserve">Angola</x:t>
  </x:si>
  <x:si>
    <x:t xml:space="preserve">GNQ</x:t>
  </x:si>
  <x:si>
    <x:t xml:space="preserve">GQ</x:t>
  </x:si>
  <x:si>
    <x:t xml:space="preserve">Equatorial Guinea</x:t>
  </x:si>
  <x:si>
    <x:t xml:space="preserve">GAB</x:t>
  </x:si>
  <x:si>
    <x:t xml:space="preserve">GA</x:t>
  </x:si>
  <x:si>
    <x:t xml:space="preserve">Gabon</x:t>
  </x:si>
  <x:si>
    <x:t xml:space="preserve">IRN</x:t>
  </x:si>
  <x:si>
    <x:t xml:space="preserve">IR</x:t>
  </x:si>
  <x:si>
    <x:t xml:space="preserve">Iran</x:t>
  </x:si>
  <x:si>
    <x:t xml:space="preserve">IRQ</x:t>
  </x:si>
  <x:si>
    <x:t xml:space="preserve">IQ</x:t>
  </x:si>
  <x:si>
    <x:t xml:space="preserve">Iraq</x:t>
  </x:si>
  <x:si>
    <x:t xml:space="preserve">KWT</x:t>
  </x:si>
  <x:si>
    <x:t xml:space="preserve">KW</x:t>
  </x:si>
  <x:si>
    <x:t xml:space="preserve">Kuwait</x:t>
  </x:si>
  <x:si>
    <x:t xml:space="preserve">LBY</x:t>
  </x:si>
  <x:si>
    <x:t xml:space="preserve">LY</x:t>
  </x:si>
  <x:si>
    <x:t xml:space="preserve">Libya</x:t>
  </x:si>
  <x:si>
    <x:t xml:space="preserve">NGA</x:t>
  </x:si>
  <x:si>
    <x:t xml:space="preserve">NG</x:t>
  </x:si>
  <x:si>
    <x:t xml:space="preserve">Nigeria</x:t>
  </x:si>
  <x:si>
    <x:t xml:space="preserve">COG</x:t>
  </x:si>
  <x:si>
    <x:t xml:space="preserve">CG</x:t>
  </x:si>
  <x:si>
    <x:t xml:space="preserve">Republic of the Congo</x:t>
  </x:si>
  <x:si>
    <x:t xml:space="preserve">Congo</x:t>
  </x:si>
  <x:si>
    <x:t xml:space="preserve">SAU</x:t>
  </x:si>
  <x:si>
    <x:t xml:space="preserve">SA</x:t>
  </x:si>
  <x:si>
    <x:t xml:space="preserve">Saudi Arabia</x:t>
  </x:si>
  <x:si>
    <x:t xml:space="preserve">ARE</x:t>
  </x:si>
  <x:si>
    <x:t xml:space="preserve">AE</x:t>
  </x:si>
  <x:si>
    <x:t xml:space="preserve">United Arab Emirates</x:t>
  </x:si>
  <x:si>
    <x:t xml:space="preserve">VEN</x:t>
  </x:si>
  <x:si>
    <x:t xml:space="preserve">VE</x:t>
  </x:si>
  <x:si>
    <x:t xml:space="preserve">Venezuela</x:t>
  </x:si>
  <x:si>
    <x:t xml:space="preserve">ALB</x:t>
  </x:si>
  <x:si>
    <x:t xml:space="preserve">AL</x:t>
  </x:si>
  <x:si>
    <x:t xml:space="preserve">Albania</x:t>
  </x:si>
  <x:si>
    <x:t xml:space="preserve">Rest 46</x:t>
  </x:si>
  <x:si>
    <x:t xml:space="preserve">AND</x:t>
  </x:si>
  <x:si>
    <x:t xml:space="preserve">AD</x:t>
  </x:si>
  <x:si>
    <x:t xml:space="preserve">Andorra</x:t>
  </x:si>
  <x:si>
    <x:t xml:space="preserve">ATG</x:t>
  </x:si>
  <x:si>
    <x:t xml:space="preserve">AG</x:t>
  </x:si>
  <x:si>
    <x:t xml:space="preserve">Antigua and Barbuda</x:t>
  </x:si>
  <x:si>
    <x:t xml:space="preserve">BHS</x:t>
  </x:si>
  <x:si>
    <x:t xml:space="preserve">BS</x:t>
  </x:si>
  <x:si>
    <x:t xml:space="preserve">Bahamas</x:t>
  </x:si>
  <x:si>
    <x:t xml:space="preserve">BRB</x:t>
  </x:si>
  <x:si>
    <x:t xml:space="preserve">BB</x:t>
  </x:si>
  <x:si>
    <x:t xml:space="preserve">Barbados</x:t>
  </x:si>
  <x:si>
    <x:t xml:space="preserve">BLR</x:t>
  </x:si>
  <x:si>
    <x:t xml:space="preserve">BY</x:t>
  </x:si>
  <x:si>
    <x:t xml:space="preserve">Belarus</x:t>
  </x:si>
  <x:si>
    <x:t xml:space="preserve">BIH</x:t>
  </x:si>
  <x:si>
    <x:t xml:space="preserve">BO</x:t>
  </x:si>
  <x:si>
    <x:t xml:space="preserve">Bosnia and Herzegovina</x:t>
  </x:si>
  <x:si>
    <x:t xml:space="preserve">BRN</x:t>
  </x:si>
  <x:si>
    <x:t xml:space="preserve">BN</x:t>
  </x:si>
  <x:si>
    <x:t xml:space="preserve">Brunei</x:t>
  </x:si>
  <x:si>
    <x:t xml:space="preserve">CAF</x:t>
  </x:si>
  <x:si>
    <x:t xml:space="preserve">CF</x:t>
  </x:si>
  <x:si>
    <x:t xml:space="preserve">CentAfri</x:t>
  </x:si>
  <x:si>
    <x:t xml:space="preserve">Central African Republic</x:t>
  </x:si>
  <x:si>
    <x:t xml:space="preserve">COK</x:t>
  </x:si>
  <x:si>
    <x:t xml:space="preserve">CK</x:t>
  </x:si>
  <x:si>
    <x:t xml:space="preserve">Cook Islands</x:t>
  </x:si>
  <x:si>
    <x:t xml:space="preserve">CUB</x:t>
  </x:si>
  <x:si>
    <x:t xml:space="preserve">CU</x:t>
  </x:si>
  <x:si>
    <x:t xml:space="preserve">Cuba</x:t>
  </x:si>
  <x:si>
    <x:t xml:space="preserve">DJI</x:t>
  </x:si>
  <x:si>
    <x:t xml:space="preserve">DJ</x:t>
  </x:si>
  <x:si>
    <x:t xml:space="preserve">Djibouti</x:t>
  </x:si>
  <x:si>
    <x:t xml:space="preserve">DMA</x:t>
  </x:si>
  <x:si>
    <x:t xml:space="preserve">DM</x:t>
  </x:si>
  <x:si>
    <x:t xml:space="preserve">Dominica</x:t>
  </x:si>
  <x:si>
    <x:t xml:space="preserve">DOM</x:t>
  </x:si>
  <x:si>
    <x:t xml:space="preserve">DO</x:t>
  </x:si>
  <x:si>
    <x:t xml:space="preserve">Dominican Republic</x:t>
  </x:si>
  <x:si>
    <x:t xml:space="preserve">TLS</x:t>
  </x:si>
  <x:si>
    <x:t xml:space="preserve">TL</x:t>
  </x:si>
  <x:si>
    <x:t xml:space="preserve">East Timor</x:t>
  </x:si>
  <x:si>
    <x:t xml:space="preserve">FJI</x:t>
  </x:si>
  <x:si>
    <x:t xml:space="preserve">FJ</x:t>
  </x:si>
  <x:si>
    <x:t xml:space="preserve">Fiji</x:t>
  </x:si>
  <x:si>
    <x:t xml:space="preserve">GRD</x:t>
  </x:si>
  <x:si>
    <x:t xml:space="preserve">GD</x:t>
  </x:si>
  <x:si>
    <x:t xml:space="preserve">Grenada</x:t>
  </x:si>
  <x:si>
    <x:t xml:space="preserve">HTI</x:t>
  </x:si>
  <x:si>
    <x:t xml:space="preserve">HT</x:t>
  </x:si>
  <x:si>
    <x:t xml:space="preserve">Haiti</x:t>
  </x:si>
  <x:si>
    <x:t xml:space="preserve">ISL</x:t>
  </x:si>
  <x:si>
    <x:t xml:space="preserve">IS</x:t>
  </x:si>
  <x:si>
    <x:t xml:space="preserve">Iceland</x:t>
  </x:si>
  <x:si>
    <x:t xml:space="preserve">JAM</x:t>
  </x:si>
  <x:si>
    <x:t xml:space="preserve">JM</x:t>
  </x:si>
  <x:si>
    <x:t xml:space="preserve">Jamaica</x:t>
  </x:si>
  <x:si>
    <x:t xml:space="preserve">KIR</x:t>
  </x:si>
  <x:si>
    <x:t xml:space="preserve">KI</x:t>
  </x:si>
  <x:si>
    <x:t xml:space="preserve">Kiribati</x:t>
  </x:si>
  <x:si>
    <x:t xml:space="preserve">LIE</x:t>
  </x:si>
  <x:si>
    <x:t xml:space="preserve">LI</x:t>
  </x:si>
  <x:si>
    <x:t xml:space="preserve">Liechtenstein</x:t>
  </x:si>
  <x:si>
    <x:t xml:space="preserve">MKD</x:t>
  </x:si>
  <x:si>
    <x:t xml:space="preserve">MK</x:t>
  </x:si>
  <x:si>
    <x:t xml:space="preserve">Macedonia</x:t>
  </x:si>
  <x:si>
    <x:t xml:space="preserve">MHL</x:t>
  </x:si>
  <x:si>
    <x:t xml:space="preserve">MH</x:t>
  </x:si>
  <x:si>
    <x:t xml:space="preserve">FSM</x:t>
  </x:si>
  <x:si>
    <x:t xml:space="preserve">FM</x:t>
  </x:si>
  <x:si>
    <x:t xml:space="preserve">Micronesia</x:t>
  </x:si>
  <x:si>
    <x:t xml:space="preserve">Moldova</x:t>
  </x:si>
  <x:si>
    <x:t xml:space="preserve">MDA</x:t>
  </x:si>
  <x:si>
    <x:t xml:space="preserve">MD</x:t>
  </x:si>
  <x:si>
    <x:t xml:space="preserve">Monaco</x:t>
  </x:si>
  <x:si>
    <x:t xml:space="preserve">MNE</x:t>
  </x:si>
  <x:si>
    <x:t xml:space="preserve">ME</x:t>
  </x:si>
  <x:si>
    <x:t xml:space="preserve">Montenegro</x:t>
  </x:si>
  <x:si>
    <x:t xml:space="preserve">NRU</x:t>
  </x:si>
  <x:si>
    <x:t xml:space="preserve">NR</x:t>
  </x:si>
  <x:si>
    <x:t xml:space="preserve">Nauru</x:t>
  </x:si>
  <x:si>
    <x:t xml:space="preserve">NZL</x:t>
  </x:si>
  <x:si>
    <x:t xml:space="preserve">NZ</x:t>
  </x:si>
  <x:si>
    <x:t xml:space="preserve">New Zealand</x:t>
  </x:si>
  <x:si>
    <x:t xml:space="preserve">NIU</x:t>
  </x:si>
  <x:si>
    <x:t xml:space="preserve">NU</x:t>
  </x:si>
  <x:si>
    <x:t xml:space="preserve">Niue</x:t>
  </x:si>
  <x:si>
    <x:t xml:space="preserve">NOR</x:t>
  </x:si>
  <x:si>
    <x:t xml:space="preserve">NO</x:t>
  </x:si>
  <x:si>
    <x:t xml:space="preserve">Norway</x:t>
  </x:si>
  <x:si>
    <x:t xml:space="preserve">PLW</x:t>
  </x:si>
  <x:si>
    <x:t xml:space="preserve">PW</x:t>
  </x:si>
  <x:si>
    <x:t xml:space="preserve">Palau</x:t>
  </x:si>
  <x:si>
    <x:t xml:space="preserve">PNG</x:t>
  </x:si>
  <x:si>
    <x:t xml:space="preserve">PG</x:t>
  </x:si>
  <x:si>
    <x:t xml:space="preserve">Papua New Guinea</x:t>
  </x:si>
  <x:si>
    <x:t xml:space="preserve">KNA</x:t>
  </x:si>
  <x:si>
    <x:t xml:space="preserve">KN</x:t>
  </x:si>
  <x:si>
    <x:t xml:space="preserve">Saint Kitts and Nevis</x:t>
  </x:si>
  <x:si>
    <x:t xml:space="preserve">SÃ£o TomÃ© and Principe</x:t>
  </x:si>
  <x:si>
    <x:t xml:space="preserve">LCA</x:t>
  </x:si>
  <x:si>
    <x:t xml:space="preserve">LC</x:t>
  </x:si>
  <x:si>
    <x:t xml:space="preserve">Saint Lucia</x:t>
  </x:si>
  <x:si>
    <x:t xml:space="preserve">VCT</x:t>
  </x:si>
  <x:si>
    <x:t xml:space="preserve">VC</x:t>
  </x:si>
  <x:si>
    <x:t xml:space="preserve">Saint Vincent and the Grenadines</x:t>
  </x:si>
  <x:si>
    <x:t xml:space="preserve">WSM</x:t>
  </x:si>
  <x:si>
    <x:t xml:space="preserve">WS</x:t>
  </x:si>
  <x:si>
    <x:t xml:space="preserve">SRB</x:t>
  </x:si>
  <x:si>
    <x:t xml:space="preserve">RS</x:t>
  </x:si>
  <x:si>
    <x:t xml:space="preserve">Serbia</x:t>
  </x:si>
  <x:si>
    <x:t xml:space="preserve">SLB</x:t>
  </x:si>
  <x:si>
    <x:t xml:space="preserve">SB</x:t>
  </x:si>
  <x:si>
    <x:t xml:space="preserve">Solomon Islands</x:t>
  </x:si>
  <x:si>
    <x:t xml:space="preserve">SWZ</x:t>
  </x:si>
  <x:si>
    <x:t xml:space="preserve">SZ</x:t>
  </x:si>
  <x:si>
    <x:t xml:space="preserve">Swaziland</x:t>
  </x:si>
  <x:si>
    <x:t xml:space="preserve">Eswatini</x:t>
  </x:si>
  <x:si>
    <x:t xml:space="preserve">CHE</x:t>
  </x:si>
  <x:si>
    <x:t xml:space="preserve">CH</x:t>
  </x:si>
  <x:si>
    <x:t xml:space="preserve">Switzerland</x:t>
  </x:si>
  <x:si>
    <x:t xml:space="preserve">TON</x:t>
  </x:si>
  <x:si>
    <x:t xml:space="preserve">TO</x:t>
  </x:si>
  <x:si>
    <x:t xml:space="preserve">Tonga</x:t>
  </x:si>
  <x:si>
    <x:t xml:space="preserve">TTO</x:t>
  </x:si>
  <x:si>
    <x:t xml:space="preserve">TT</x:t>
  </x:si>
  <x:si>
    <x:t xml:space="preserve">Trinidad and Tobago</x:t>
  </x:si>
  <x:si>
    <x:t xml:space="preserve">TUV</x:t>
  </x:si>
  <x:si>
    <x:t xml:space="preserve">TV</x:t>
  </x:si>
  <x:si>
    <x:t xml:space="preserve">Tuvalu</x:t>
  </x:si>
  <x:si>
    <x:t xml:space="preserve">VUT</x:t>
  </x:si>
  <x:si>
    <x:t xml:space="preserve">VU</x:t>
  </x:si>
  <x:si>
    <x:t xml:space="preserve">Vanuatu</x:t>
  </x:si>
  <x:si>
    <x:t xml:space="preserve">YEM</x:t>
  </x:si>
  <x:si>
    <x:t xml:space="preserve">YE</x:t>
  </x:si>
  <x:si>
    <x:t xml:space="preserve">Yemen</x:t>
  </x:si>
  <x:si>
    <x:t xml:space="preserve">ARG</x:t>
  </x:si>
  <x:si>
    <x:t xml:space="preserve">AR</x:t>
  </x:si>
  <x:si>
    <x:t xml:space="preserve">Argentina</x:t>
  </x:si>
  <x:si>
    <x:t xml:space="preserve">Top20</x:t>
  </x:si>
  <x:si>
    <x:t xml:space="preserve">AUS</x:t>
  </x:si>
  <x:si>
    <x:t xml:space="preserve">AU</x:t>
  </x:si>
  <x:si>
    <x:t xml:space="preserve">Australia</x:t>
  </x:si>
  <x:si>
    <x:t xml:space="preserve">BRA</x:t>
  </x:si>
  <x:si>
    <x:t xml:space="preserve">BR</x:t>
  </x:si>
  <x:si>
    <x:t xml:space="preserve">Brazil</x:t>
  </x:si>
  <x:si>
    <x:t xml:space="preserve">CAN</x:t>
  </x:si>
  <x:si>
    <x:t xml:space="preserve">CA</x:t>
  </x:si>
  <x:si>
    <x:t xml:space="preserve">Canada</x:t>
  </x:si>
  <x:si>
    <x:t xml:space="preserve">IND</x:t>
  </x:si>
  <x:si>
    <x:t xml:space="preserve">IN</x:t>
  </x:si>
  <x:si>
    <x:t xml:space="preserve">India</x:t>
  </x:si>
  <x:si>
    <x:t xml:space="preserve">IDN</x:t>
  </x:si>
  <x:si>
    <x:t xml:space="preserve">ID</x:t>
  </x:si>
  <x:si>
    <x:t xml:space="preserve">Indonesia</x:t>
  </x:si>
  <x:si>
    <x:t xml:space="preserve">JPN</x:t>
  </x:si>
  <x:si>
    <x:t xml:space="preserve">JP</x:t>
  </x:si>
  <x:si>
    <x:t xml:space="preserve">Japan</x:t>
  </x:si>
  <x:si>
    <x:t xml:space="preserve">MEX</x:t>
  </x:si>
  <x:si>
    <x:t xml:space="preserve">MX</x:t>
  </x:si>
  <x:si>
    <x:t xml:space="preserve">PAK</x:t>
  </x:si>
  <x:si>
    <x:t xml:space="preserve">PK</x:t>
  </x:si>
  <x:si>
    <x:t xml:space="preserve">Pakistan</x:t>
  </x:si>
  <x:si>
    <x:t xml:space="preserve">RUS</x:t>
  </x:si>
  <x:si>
    <x:t xml:space="preserve">RU</x:t>
  </x:si>
  <x:si>
    <x:t xml:space="preserve">Russia</x:t>
  </x:si>
  <x:si>
    <x:t xml:space="preserve">ZAF</x:t>
  </x:si>
  <x:si>
    <x:t xml:space="preserve">ZA</x:t>
  </x:si>
  <x:si>
    <x:t xml:space="preserve">South Africa</x:t>
  </x:si>
  <x:si>
    <x:t xml:space="preserve">KOR</x:t>
  </x:si>
  <x:si>
    <x:t xml:space="preserve">KR</x:t>
  </x:si>
  <x:si>
    <x:t xml:space="preserve">South Korea</x:t>
  </x:si>
  <x:si>
    <x:t xml:space="preserve">THA</x:t>
  </x:si>
  <x:si>
    <x:t xml:space="preserve">TH</x:t>
  </x:si>
  <x:si>
    <x:t xml:space="preserve">Thailand</x:t>
  </x:si>
  <x:si>
    <x:t xml:space="preserve">TUR</x:t>
  </x:si>
  <x:si>
    <x:t xml:space="preserve">TR</x:t>
  </x:si>
  <x:si>
    <x:t xml:space="preserve">Turkey</x:t>
  </x:si>
  <x:si>
    <x:t xml:space="preserve">UKR</x:t>
  </x:si>
  <x:si>
    <x:t xml:space="preserve">UA</x:t>
  </x:si>
  <x:si>
    <x:t xml:space="preserve">Ukraine</x:t>
  </x:si>
  <x:si>
    <x:t xml:space="preserve">GBR</x:t>
  </x:si>
  <x:si>
    <x:t xml:space="preserve">GB</x:t>
  </x:si>
  <x:si>
    <x:t xml:space="preserve">United Kingdom</x:t>
  </x:si>
  <x:si>
    <x:t xml:space="preserve">VNM</x:t>
  </x:si>
  <x:si>
    <x:t xml:space="preserve">VN</x:t>
  </x:si>
  <x:si>
    <x:t xml:space="preserve">Vietnam</x:t>
  </x:si>
  <x:si>
    <x:t xml:space="preserve">USA</x:t>
  </x:si>
  <x:si>
    <x:t xml:space="preserve">US</x:t>
  </x:si>
  <x:si>
    <x:t xml:space="preserve">United States</x:t>
  </x:si>
</x:sst>
</file>

<file path=xl/styles.xml><?xml version="1.0" encoding="utf-8"?>
<x:styleSheet xmlns:x="http://schemas.openxmlformats.org/spreadsheetml/2006/main">
  <x:numFmts count="2">
    <x:numFmt numFmtId="43" formatCode="_(* #,##0.00_);_(* \(#,##0.00\);_(* &quot;-&quot;??_);_(@_)"/>
    <x:numFmt numFmtId="164" formatCode="0.0%"/>
  </x:numFmts>
  <x:fonts count="4">
    <x:font>
      <x:sz val="11"/>
      <x:color theme="1"/>
      <x:name val="Aptos Narrow"/>
    </x:font>
    <x:font>
      <x:sz val="11"/>
      <x:color theme="1"/>
      <x:name val="Aptos Narrow"/>
    </x:font>
    <x:font>
      <x:sz val="11"/>
      <x:color theme="1"/>
      <x:name val="Aptos Narrow"/>
    </x:font>
    <x:font>
      <x:sz val="11"/>
      <x:color rgb="FFFF0000"/>
      <x:name val="Aptos Narrow"/>
    </x:font>
  </x:fonts>
  <x:fills count="11">
    <x:fill>
      <x:patternFill patternType="none"/>
    </x:fill>
    <x:fill>
      <x:patternFill patternType="gray125"/>
    </x:fill>
    <x:fill>
      <x:patternFill patternType="solid">
        <x:fgColor rgb="FFFFFF00"/>
      </x:patternFill>
    </x:fill>
    <x:fill>
      <x:patternFill patternType="solid">
        <x:fgColor rgb="FFD9D9D9"/>
      </x:patternFill>
    </x:fill>
    <x:fill>
      <x:patternFill patternType="solid">
        <x:fgColor rgb="FFFFC000"/>
      </x:patternFill>
    </x:fill>
    <x:fill>
      <x:patternFill patternType="solid">
        <x:fgColor rgb="FFCCFF33"/>
      </x:patternFill>
    </x:fill>
    <x:fill>
      <x:patternFill patternType="solid">
        <x:fgColor rgb="FF92D050"/>
      </x:patternFill>
    </x:fill>
    <x:fill>
      <x:patternFill patternType="solid">
        <x:fgColor rgb="FF83CCEB"/>
      </x:patternFill>
    </x:fill>
    <x:fill>
      <x:patternFill patternType="solid">
        <x:fgColor theme="3" tint="0.89999"/>
      </x:patternFill>
    </x:fill>
    <x:fill>
      <x:patternFill patternType="solid">
        <x:fgColor theme="3" tint="0.89999"/>
      </x:patternFill>
    </x:fill>
    <x:fill>
      <x:patternFill patternType="solid">
        <x:fgColor rgb="FFFFFF00"/>
      </x:patternFill>
    </x:fill>
  </x:fills>
  <x:borders count="1">
    <x:border/>
  </x:borders>
  <x:cellStyleXfs count="3">
    <x:xf numFmtId="0" fontId="0" fillId="0" borderId="0"/>
    <x:xf numFmtId="9" fontId="1" fillId="0" borderId="0" applyFont="0" applyFill="0" applyBorder="0" applyAlignment="0" applyProtection="0"/>
    <x:xf numFmtId="43" fontId="1" fillId="0" borderId="0" applyFont="0" applyFill="0" applyBorder="0" applyAlignment="0" applyProtection="0"/>
  </x:cellStyleXfs>
  <x:cellXfs count="21">
    <x:xf numFmtId="0" fontId="0" fillId="0" borderId="0" xfId="0"/>
    <x:xf numFmtId="0" fontId="2" fillId="0" borderId="0" xfId="0" applyFont="1"/>
    <x:xf numFmtId="0" fontId="2" fillId="2" borderId="0" xfId="0" applyFont="1" applyFill="1"/>
    <x:xf numFmtId="0" fontId="2" fillId="3" borderId="0" xfId="0" applyFont="1" applyFill="1"/>
    <x:xf numFmtId="0" fontId="2" fillId="4" borderId="0" xfId="0" applyFont="1" applyFill="1"/>
    <x:xf numFmtId="9" fontId="2" fillId="2" borderId="0" xfId="1" applyFont="1" applyFill="1" applyBorder="1"/>
    <x:xf numFmtId="9" fontId="2" fillId="5" borderId="0" xfId="1" applyFont="1" applyFill="1" applyBorder="1"/>
    <x:xf numFmtId="0" fontId="2" fillId="6" borderId="0" xfId="0" applyFont="1" applyFill="1"/>
    <x:xf numFmtId="0" fontId="2" fillId="7" borderId="0" xfId="0" applyFont="1" applyFill="1"/>
    <x:xf numFmtId="9" fontId="2" fillId="7" borderId="0" xfId="1" applyFont="1" applyFill="1" applyBorder="1"/>
    <x:xf numFmtId="9" fontId="2" fillId="0" borderId="0" xfId="1" applyFont="1" applyFill="1" applyBorder="1"/>
    <x:xf numFmtId="9" fontId="2" fillId="4" borderId="0" xfId="1" applyFont="1" applyFill="1" applyBorder="1"/>
    <x:xf numFmtId="0" fontId="2" fillId="8" borderId="0" xfId="0" applyFont="1" applyFill="1"/>
    <x:xf numFmtId="0" fontId="2" fillId="9" borderId="0" xfId="0" applyFont="1" applyFill="1"/>
    <x:xf numFmtId="9" fontId="2" fillId="9" borderId="0" xfId="1" applyFont="1" applyFill="1" applyBorder="1"/>
    <x:xf numFmtId="164" fontId="2" fillId="2" borderId="0" xfId="1" applyNumberFormat="1" applyFont="1" applyFill="1" applyBorder="1"/>
    <x:xf numFmtId="164" fontId="2" fillId="9" borderId="0" xfId="1" applyNumberFormat="1" applyFont="1" applyFill="1" applyBorder="1"/>
    <x:xf numFmtId="0" fontId="3" fillId="0" borderId="0" xfId="0" applyFont="1"/>
    <x:xf numFmtId="0" fontId="3" fillId="10" borderId="0" xfId="0" applyFont="1" applyFill="1"/>
    <x:xf numFmtId="43" fontId="2" fillId="4" borderId="0" xfId="2" applyFont="1" applyFill="1"/>
    <x:xf numFmtId="43" fontId="2" fillId="7" borderId="0" xfId="2" applyFont="1" applyFill="1"/>
  </x:cellXfs>
  <x:cellStyles count="3">
    <x:cellStyle name="Comma" xfId="2"/>
    <x:cellStyle name="Normal" xfId="0"/>
    <x:cellStyle name="Percent" xfId="1"/>
  </x:cellStyles>
</x:styleSheet>
</file>

<file path=xl/_rels/workbook.xml.rels>&#65279;<?xml version="1.0" encoding="utf-8"?><Relationships xmlns="http://schemas.openxmlformats.org/package/2006/relationships"><Relationship Type="http://schemas.openxmlformats.org/officeDocument/2006/relationships/styles" Target="/xl/styles.xml" Id="R7c2456ad1e254293" /><Relationship Type="http://schemas.openxmlformats.org/officeDocument/2006/relationships/theme" Target="/xl/theme/theme1.xml" Id="R1cb5161ed8564fc1" /><Relationship Type="http://schemas.openxmlformats.org/officeDocument/2006/relationships/sharedStrings" Target="/xl/sharedStrings.xml" Id="R0eaa15b7ed3a4954" /><Relationship Type="http://schemas.openxmlformats.org/officeDocument/2006/relationships/worksheet" Target="/xl/worksheets/sheet1.xml" Id="Rb58846cb1cc8428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399999618530273"/>
  <x:cols>
    <x:col min="1" max="2" width="8.88671875" style="1" customWidth="0"/>
    <x:col min="3" max="3" width="9" style="1" customWidth="1"/>
    <x:col min="4" max="4" width="8.88671875" style="1" customWidth="0"/>
    <x:col min="5" max="6" width="9.109375" style="1" customWidth="1"/>
    <x:col min="7" max="7" width="10.44140625" style="2" customWidth="1"/>
    <x:col min="8" max="8" width="11.44140625" style="1" customWidth="1"/>
    <x:col min="9" max="9" width="12.5546875" style="4" customWidth="1"/>
    <x:col min="10" max="10" width="12.5546875" style="19" customWidth="1"/>
    <x:col min="11" max="11" width="9.109375" style="5" customWidth="1"/>
    <x:col min="12" max="12" width="9.109375" style="5" customWidth="1"/>
    <x:col min="13" max="13" width="26" style="6" customWidth="1"/>
    <x:col min="14" max="14" width="8.88671875" style="1" customWidth="0"/>
    <x:col min="15" max="15" width="12.5546875" style="1" customWidth="1"/>
    <x:col min="16" max="16" width="11" style="1" customWidth="1"/>
    <x:col min="17" max="17" width="9.109375" style="7" customWidth="1"/>
    <x:col min="18" max="18" width="9.109375" style="5" customWidth="1"/>
    <x:col min="19" max="19" width="9.109375" style="15" customWidth="1"/>
    <x:col min="20" max="21" width="8.88671875" style="1" customWidth="0"/>
    <x:col min="23" max="24" width="16.21875" style="17" customWidth="1"/>
    <x:col min="25" max="25" width="23.109375" style="1" customWidth="1"/>
    <x:col min="26" max="26" width="19.44140625" style="1" customWidth="1"/>
    <x:col min="27" max="27" width="15.109375" style="1" customWidth="1"/>
    <x:col min="28" max="16384" width="8.88671875" style="1" customWidth="0"/>
  </x:cols>
  <x:sheetData>
    <x:row r="1">
      <x:c r="A1" s="1" t="s">
        <x:v>0</x:v>
      </x:c>
      <x:c r="B1" s="1" t="s">
        <x:v>1</x:v>
      </x:c>
      <x:c r="C1" s="1" t="s">
        <x:v>2</x:v>
      </x:c>
      <x:c r="D1" s="1" t="s">
        <x:v>3</x:v>
      </x:c>
      <x:c r="F1" s="1" t="s">
        <x:v>4</x:v>
      </x:c>
      <x:c r="G1" s="2" t="s">
        <x:v>5</x:v>
      </x:c>
      <x:c r="H1" s="3" t="s">
        <x:v>6</x:v>
      </x:c>
      <x:c r="I1" s="4" t="s">
        <x:v>7</x:v>
      </x:c>
      <x:c r="J1" s="19" t="s">
        <x:v>8</x:v>
      </x:c>
      <x:c r="K1" s="5" t="s">
        <x:v>9</x:v>
      </x:c>
      <x:c r="L1" s="5" t="s">
        <x:v>10</x:v>
      </x:c>
      <x:c r="M1" s="6" t="s">
        <x:v>11</x:v>
      </x:c>
      <x:c r="N1" s="1" t="s">
        <x:v>2</x:v>
      </x:c>
      <x:c r="O1" s="1" t="s">
        <x:v>12</x:v>
      </x:c>
      <x:c r="P1" s="2" t="s">
        <x:v>13</x:v>
      </x:c>
      <x:c r="Q1" s="7" t="s">
        <x:v>14</x:v>
      </x:c>
      <x:c r="R1" s="5" t="s">
        <x:v>14</x:v>
      </x:c>
      <x:c r="S1" s="15" t="s">
        <x:v>15</x:v>
      </x:c>
      <x:c r="T1" s="1" t="s">
        <x:v>3</x:v>
      </x:c>
      <x:c r="U1" s="1" t="s">
        <x:v>2</x:v>
      </x:c>
      <x:c r="V1" t="s">
        <x:v>16</x:v>
      </x:c>
      <x:c r="W1" s="17" t="s">
        <x:v>2</x:v>
      </x:c>
      <x:c r="X1" s="17" t="s">
        <x:v>17</x:v>
      </x:c>
      <x:c r="Y1" s="1" t="s">
        <x:v>18</x:v>
      </x:c>
      <x:c r="Z1" s="1" t="s">
        <x:v>19</x:v>
      </x:c>
    </x:row>
    <x:row r="2" s="8" customFormat="1">
      <x:c r="A2" s="8" t="s">
        <x:v>20</x:v>
      </x:c>
      <x:c r="B2" s="8" t="s">
        <x:v>21</x:v>
      </x:c>
      <x:c r="C2" s="8" t="str">
        <x:v>Benin (Bénin)</x:v>
      </x:c>
      <x:c r="D2" s="8" t="str">
        <x:v>Afrique</x:v>
      </x:c>
      <x:c r="E2" s="8">
        <x:v>30</x:v>
      </x:c>
      <x:c r="F2" s="8">
        <x:v>15.016640000000001</x:v>
      </x:c>
      <x:c r="G2" s="8">
        <x:v>2592000</x:v>
      </x:c>
      <x:c r="H2" s="8">
        <x:v>25920000</x:v>
      </x:c>
      <x:c r="I2" s="8">
        <x:v>166138286.10666057</x:v>
      </x:c>
      <x:c r="J2" s="20" t="n">
        <x:f>K2</x:f>
        <x:v>11.063612506303713</x:v>
      </x:c>
      <x:c r="K2" s="9">
        <x:v>11.063612506303713</x:v>
      </x:c>
      <x:c r="L2" s="9">
        <x:v>14.18</x:v>
      </x:c>
      <x:c r="M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2" s="8" t="s">
        <x:v>22</x:v>
      </x:c>
      <x:c r="O2" s="8">
        <x:v>240273216000</x:v>
      </x:c>
      <x:c r="P2" s="8">
        <x:v>17144.918949999999</x:v>
      </x:c>
      <x:c r="Q2" s="8">
        <x:v>14.014252076706375</x:v>
      </x:c>
      <x:c r="R2" s="9">
        <x:v>14.014252076706375</x:v>
      </x:c>
      <x:c r="S2" s="15">
        <x:v>19.654551191571777</x:v>
      </x:c>
      <x:c r="T2" s="8" t="s">
        <x:v>23</x:v>
      </x:c>
      <x:c r="U2" s="8" t="s">
        <x:v>22</x:v>
      </x:c>
      <x:c r="V2">
        <x:v>13.47</x:v>
      </x:c>
      <x:c r="W2" s="17" t="s">
        <x:v>22</x:v>
      </x:c>
      <x:c r="X2" s="17" t="n">
        <x:f>F2*1000000</x:f>
        <x:v>15016640</x:v>
      </x:c>
      <x:c r="Y2" t="str">
        <x:f>"1 + " &amp; TEXT(V2/F2, "0.00") &amp; " = " &amp; TEXT(1 + (V2/F2), "0.00")</x:f>
        <x:v>1 + 0.90 = 1.90</x:v>
      </x:c>
      <x:c r="Z2" t="str">
        <x:f>"1 + " &amp; TEXT(I2/X2, "0.00") &amp; " = " &amp; TEXT(1 + (I2/X2), "0.00")</x:f>
        <x:v>1 + 11.06 = 12.06</x:v>
      </x:c>
      <x:c r="AA2" s="1"/>
      <x:c r="AB2" s="1"/>
      <x:c r="AC2" s="1"/>
      <x:c r="AD2" s="1"/>
      <x:c r="AE2" s="1"/>
      <x:c r="AF2" s="1"/>
      <x:c r="AG2" s="1"/>
      <x:c r="AH2" s="1"/>
    </x:row>
    <x:row r="3">
      <x:c r="A3" s="1" t="s">
        <x:v>24</x:v>
      </x:c>
      <x:c r="B3" s="1" t="s">
        <x:v>25</x:v>
      </x:c>
      <x:c r="C3" s="1" t="str">
        <x:v>Botswana (Botswana)</x:v>
      </x:c>
      <x:c r="D3" s="1" t="str">
        <x:v>Afrique</x:v>
      </x:c>
      <x:c r="E3" s="1">
        <x:v>20</x:v>
      </x:c>
      <x:c r="F3" s="1">
        <x:v>11.00376</x:v>
      </x:c>
      <x:c r="G3" s="2">
        <x:v>1045036</x:v>
      </x:c>
      <x:c r="H3" s="1">
        <x:v>10450360</x:v>
      </x:c>
      <x:c r="I3" s="4">
        <x:v>123415157.71904325</x:v>
      </x:c>
      <x:c r="J3" s="20" t="n">
        <x:f t="shared" ref="J3:J66" si="0">K3</x:f>
        <x:v>11.215726053552899</x:v>
      </x:c>
      <x:c r="K3" s="5">
        <x:v>11.215726053552899</x:v>
      </x:c>
      <x:c r="L3" s="9">
        <x:v>14.18</x:v>
      </x:c>
      <x:c r="M3"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3" s="1" t="s">
        <x:v>26</x:v>
      </x:c>
      <x:c r="O3" s="1">
        <x:v>96872747128</x:v>
      </x:c>
      <x:c r="P3" s="1">
        <x:v>17614.791270000002</x:v>
      </x:c>
      <x:c r="Q3" s="7">
        <x:v>5.4995114982137396</x:v>
      </x:c>
      <x:c r="R3" s="5">
        <x:v>5.4995114982137396</x:v>
      </x:c>
      <x:c r="S3" s="15">
        <x:v>19.654551191571777</x:v>
      </x:c>
      <x:c r="T3" s="1" t="s">
        <x:v>23</x:v>
      </x:c>
      <x:c r="U3" s="1" t="s">
        <x:v>26</x:v>
      </x:c>
      <x:c r="V3">
        <x:v>0.47</x:v>
      </x:c>
      <x:c r="W3" s="17" t="s">
        <x:v>26</x:v>
      </x:c>
      <x:c r="X3" s="17" t="n">
        <x:f t="shared" ref="X3:X66" si="1">F3*1000000</x:f>
        <x:v>11003760</x:v>
      </x:c>
      <x:c r="Y3" t="str">
        <x:f t="shared" ref="Y3:Y66" si="2">"1 + " &amp; TEXT(V3/F3, "0.00") &amp; " = " &amp; TEXT(1 + (V3/F3), "0.00")</x:f>
        <x:v>1 + 0.04 = 1.04</x:v>
      </x:c>
      <x:c r="Z3" t="str">
        <x:f t="shared" ref="Z3:Z66" si="3">"1 + " &amp; TEXT(I3/X3, "0.00") &amp; " = " &amp; TEXT(1 + (I3/X3), "0.00")</x:f>
        <x:v>1 + 11.22 = 12.22</x:v>
      </x:c>
    </x:row>
    <x:row r="4">
      <x:c r="A4" s="1" t="s">
        <x:v>27</x:v>
      </x:c>
      <x:c r="B4" s="1" t="s">
        <x:v>28</x:v>
      </x:c>
      <x:c r="C4" s="1" t="str">
        <x:v>Burkina Faso (Burkina Faso)</x:v>
      </x:c>
      <x:c r="D4" s="1" t="str">
        <x:v>Afrique</x:v>
      </x:c>
      <x:c r="E4" s="1">
        <x:v>20</x:v>
      </x:c>
      <x:c r="F4" s="1">
        <x:v>32.20946</x:v>
      </x:c>
      <x:c r="G4" s="2">
        <x:v>10312137</x:v>
      </x:c>
      <x:c r="H4" s="1">
        <x:v>103121370</x:v>
      </x:c>
      <x:c r="I4" s="4">
        <x:v>660972518.23961437</x:v>
      </x:c>
      <x:c r="J4" s="20">
        <x:f t="shared" si="0"/>
        <x:v>20.521067979395319</x:v>
      </x:c>
      <x:c r="K4" s="5">
        <x:v>20.521067979395319</x:v>
      </x:c>
      <x:c r="L4" s="9">
        <x:v>14.18</x:v>
      </x:c>
      <x:c r="M4"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4" s="1" t="s">
        <x:v>29</x:v>
      </x:c>
      <x:c r="O4" s="1">
        <x:v>955914475626</x:v>
      </x:c>
      <x:c r="P4" s="1">
        <x:v>19737.615109999999</x:v>
      </x:c>
      <x:c r="Q4" s="7">
        <x:v>48.431103266457406</x:v>
      </x:c>
      <x:c r="R4" s="5">
        <x:v>48.431103266457406</x:v>
      </x:c>
      <x:c r="S4" s="15">
        <x:v>19.654551191571777</x:v>
      </x:c>
      <x:c r="T4" s="1" t="s">
        <x:v>23</x:v>
      </x:c>
      <x:c r="U4" s="1" t="s">
        <x:v>29</x:v>
      </x:c>
      <x:c r="V4">
        <x:v>18.45</x:v>
      </x:c>
      <x:c r="W4" s="17" t="s">
        <x:v>29</x:v>
      </x:c>
      <x:c r="X4" s="17">
        <x:f t="shared" si="1"/>
        <x:v>32209460</x:v>
      </x:c>
      <x:c r="Y4" t="str">
        <x:f t="shared" si="2"/>
        <x:v>1 + 0.57 = 1.57</x:v>
      </x:c>
      <x:c r="Z4" t="str">
        <x:f t="shared" si="3"/>
        <x:v>1 + 20.52 = 21.52</x:v>
      </x:c>
    </x:row>
    <x:row r="5">
      <x:c r="A5" s="1" t="s">
        <x:v>30</x:v>
      </x:c>
      <x:c r="B5" s="1" t="s">
        <x:v>31</x:v>
      </x:c>
      <x:c r="C5" s="1" t="str">
        <x:v>Burundi (Burundi)</x:v>
      </x:c>
      <x:c r="D5" s="1" t="str">
        <x:v>Afrique</x:v>
      </x:c>
      <x:c r="E5" s="1">
        <x:v>20</x:v>
      </x:c>
      <x:c r="F5" s="1">
        <x:v>4.559564</x:v>
      </x:c>
      <x:c r="G5" s="2">
        <x:v>628022</x:v>
      </x:c>
      <x:c r="H5" s="1">
        <x:v>6280220</x:v>
      </x:c>
      <x:c r="I5" s="4">
        <x:v>40254050.431048296</x:v>
      </x:c>
      <x:c r="J5" s="20">
        <x:f t="shared" si="0"/>
        <x:v>8.8284867656311654</x:v>
      </x:c>
      <x:c r="K5" s="5">
        <x:v>8.8284867656311654</x:v>
      </x:c>
      <x:c r="L5" s="9">
        <x:v>14.18</x:v>
      </x:c>
      <x:c r="M5"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5" s="1" t="s">
        <x:v>32</x:v>
      </x:c>
      <x:c r="O5" s="1">
        <x:v>58216383356</x:v>
      </x:c>
      <x:c r="P5" s="1">
        <x:v>2779.8134890000001</x:v>
      </x:c>
      <x:c r="Q5" s="7">
        <x:v>20.94255013380144</x:v>
      </x:c>
      <x:c r="R5" s="5">
        <x:v>20.94255013380144</x:v>
      </x:c>
      <x:c r="S5" s="15">
        <x:v>19.654551191571777</x:v>
      </x:c>
      <x:c r="T5" s="1" t="s">
        <x:v>23</x:v>
      </x:c>
      <x:c r="U5" s="1" t="s">
        <x:v>32</x:v>
      </x:c>
      <x:c r="V5">
        <x:v>3.09</x:v>
      </x:c>
      <x:c r="W5" s="17" t="s">
        <x:v>32</x:v>
      </x:c>
      <x:c r="X5" s="17">
        <x:f t="shared" si="1"/>
        <x:v>4559564</x:v>
      </x:c>
      <x:c r="Y5" t="str">
        <x:f t="shared" si="2"/>
        <x:v>1 + 0.68 = 1.68</x:v>
      </x:c>
      <x:c r="Z5" t="str">
        <x:f t="shared" si="3"/>
        <x:v>1 + 8.83 = 9.83</x:v>
      </x:c>
      <x:c r="AB5" s="10"/>
    </x:row>
    <x:row r="6">
      <x:c r="A6" s="1" t="s">
        <x:v>33</x:v>
      </x:c>
      <x:c r="B6" s="1" t="s">
        <x:v>34</x:v>
      </x:c>
      <x:c r="C6" s="1" t="str">
        <x:v>Cameroon (Cameroun)</x:v>
      </x:c>
      <x:c r="D6" s="1" t="str">
        <x:v>Afrique</x:v>
      </x:c>
      <x:c r="E6" s="1">
        <x:v>40</x:v>
      </x:c>
      <x:c r="F6" s="1">
        <x:v>90.124859999999998</x:v>
      </x:c>
      <x:c r="G6" s="2">
        <x:v>6055196</x:v>
      </x:c>
      <x:c r="H6" s="1">
        <x:v>60551960</x:v>
      </x:c>
      <x:c r="I6" s="4">
        <x:v>224626947.76848248</x:v>
      </x:c>
      <x:c r="J6" s="20">
        <x:f t="shared" si="0"/>
        <x:v>2.4923971895044552</x:v>
      </x:c>
      <x:c r="K6" s="5">
        <x:v>2.4923971895044552</x:v>
      </x:c>
      <x:c r="L6" s="9">
        <x:v>14.18</x:v>
      </x:c>
      <x:c r="M6"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6" s="1" t="s">
        <x:v>35</x:v>
      </x:c>
      <x:c r="O6" s="1">
        <x:v>561304558808</x:v>
      </x:c>
      <x:c r="P6" s="1">
        <x:v>45338.283340000002</x:v>
      </x:c>
      <x:c r="Q6" s="7">
        <x:v>12.380366380409145</x:v>
      </x:c>
      <x:c r="R6" s="5">
        <x:v>12.380366380409145</x:v>
      </x:c>
      <x:c r="S6" s="15">
        <x:v>19.654551191571777</x:v>
      </x:c>
      <x:c r="T6" s="1" t="s">
        <x:v>23</x:v>
      </x:c>
      <x:c r="U6" s="1" t="s">
        <x:v>35</x:v>
      </x:c>
      <x:c r="V6">
        <x:v>95.59</x:v>
      </x:c>
      <x:c r="W6" s="17" t="s">
        <x:v>35</x:v>
      </x:c>
      <x:c r="X6" s="17">
        <x:f t="shared" si="1"/>
        <x:v>90124860</x:v>
      </x:c>
      <x:c r="Y6" t="str">
        <x:f t="shared" si="2"/>
        <x:v>1 + 1.06 = 2.06</x:v>
      </x:c>
      <x:c r="Z6" t="str">
        <x:f t="shared" si="3"/>
        <x:v>1 + 2.49 = 3.49</x:v>
      </x:c>
      <x:c r="AB6" s="10"/>
    </x:row>
    <x:row r="7">
      <x:c r="A7" s="1" t="s">
        <x:v>36</x:v>
      </x:c>
      <x:c r="B7" s="1" t="s">
        <x:v>37</x:v>
      </x:c>
      <x:c r="C7" s="1" t="str">
        <x:v>Cape Verde (Cap-Vert)</x:v>
      </x:c>
      <x:c r="D7" s="1" t="str">
        <x:v>Afrique</x:v>
      </x:c>
      <x:c r="E7" s="1">
        <x:v>40</x:v>
      </x:c>
      <x:c r="F7" s="1">
        <x:v>0.80874299999999999</x:v>
      </x:c>
      <x:c r="G7" s="2">
        <x:v>29519</x:v>
      </x:c>
      <x:c r="H7" s="1">
        <x:v>295190</x:v>
      </x:c>
      <x:c r="I7" s="4">
        <x:v>3486092.3840981917</x:v>
      </x:c>
      <x:c r="J7" s="20">
        <x:f t="shared" si="0"/>
        <x:v>4.3105070264573442</x:v>
      </x:c>
      <x:c r="K7" s="5">
        <x:v>4.3105070264573442</x:v>
      </x:c>
      <x:c r="L7" s="9">
        <x:v>14.18</x:v>
      </x:c>
      <x:c r="M7"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7" s="1" t="s">
        <x:v>38</x:v>
      </x:c>
      <x:c r="O7" s="1">
        <x:v>2736352262</x:v>
      </x:c>
      <x:c r="P7" s="1">
        <x:v>1936.174043</x:v>
      </x:c>
      <x:c r="Q7" s="7">
        <x:v>1.4132780427942138</x:v>
      </x:c>
      <x:c r="R7" s="5">
        <x:v>1.4132780427942138</x:v>
      </x:c>
      <x:c r="S7" s="15">
        <x:v>19.654551191571777</x:v>
      </x:c>
      <x:c r="T7" s="1" t="s">
        <x:v>23</x:v>
      </x:c>
      <x:c r="U7" s="1" t="s">
        <x:v>38</x:v>
      </x:c>
      <x:c r="V7">
        <x:v>-0.02</x:v>
      </x:c>
      <x:c r="W7" s="17" t="s">
        <x:v>39</x:v>
      </x:c>
      <x:c r="X7" s="17">
        <x:f t="shared" si="1"/>
        <x:v>808743</x:v>
      </x:c>
      <x:c r="Y7" t="str">
        <x:f t="shared" si="2"/>
        <x:v>1 + -0.02 = 0.98</x:v>
      </x:c>
      <x:c r="Z7" t="str">
        <x:f t="shared" si="3"/>
        <x:v>1 + 4.31 = 5.31</x:v>
      </x:c>
      <x:c r="AB7" s="10"/>
    </x:row>
    <x:row r="8">
      <x:c r="A8" s="1" t="s">
        <x:v>40</x:v>
      </x:c>
      <x:c r="B8" s="1" t="s">
        <x:v>41</x:v>
      </x:c>
      <x:c r="C8" s="1" t="str">
        <x:v>Chad (Tchad)</x:v>
      </x:c>
      <x:c r="D8" s="1" t="str">
        <x:v>Afrique</x:v>
      </x:c>
      <x:c r="E8" s="1">
        <x:v>30</x:v>
      </x:c>
      <x:c r="F8" s="1">
        <x:v>81.648970000000006</x:v>
      </x:c>
      <x:c r="G8" s="2">
        <x:v>32237209</x:v>
      </x:c>
      <x:c r="H8" s="1">
        <x:v>322372090</x:v>
      </x:c>
      <x:c r="I8" s="4">
        <x:v>2936698876.0718412</x:v>
      </x:c>
      <x:c r="J8" s="20">
        <x:f t="shared" si="0"/>
        <x:v>35.967371983649535</x:v>
      </x:c>
      <x:c r="K8" s="5">
        <x:v>35.967371983649535</x:v>
      </x:c>
      <x:c r="L8" s="9">
        <x:v>14.18</x:v>
      </x:c>
      <x:c r="M8"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8" s="1" t="s">
        <x:v>42</x:v>
      </x:c>
      <x:c r="O8" s="1">
        <x:v>2988324799882</x:v>
      </x:c>
      <x:c r="P8" s="1">
        <x:v>11779.980799999999</x:v>
      </x:c>
      <x:c r="Q8" s="7">
        <x:v>253.6782402804935</x:v>
      </x:c>
      <x:c r="R8" s="5">
        <x:v>253.6782402804935</x:v>
      </x:c>
      <x:c r="S8" s="15">
        <x:v>19.654551191571777</x:v>
      </x:c>
      <x:c r="T8" s="1" t="s">
        <x:v>23</x:v>
      </x:c>
      <x:c r="U8" s="1" t="s">
        <x:v>42</x:v>
      </x:c>
      <x:c r="V8">
        <x:v>21.84</x:v>
      </x:c>
      <x:c r="W8" s="17" t="s">
        <x:v>42</x:v>
      </x:c>
      <x:c r="X8" s="17">
        <x:f t="shared" si="1"/>
        <x:v>81648970</x:v>
      </x:c>
      <x:c r="Y8" t="str">
        <x:f t="shared" si="2"/>
        <x:v>1 + 0.27 = 1.27</x:v>
      </x:c>
      <x:c r="Z8" t="str">
        <x:f t="shared" si="3"/>
        <x:v>1 + 35.97 = 36.97</x:v>
      </x:c>
      <x:c r="AB8" s="10"/>
    </x:row>
    <x:row r="9">
      <x:c r="A9" s="1" t="s">
        <x:v>43</x:v>
      </x:c>
      <x:c r="B9" s="1" t="s">
        <x:v>44</x:v>
      </x:c>
      <x:c r="C9" s="1" t="str">
        <x:v>Comoros (Comores)</x:v>
      </x:c>
      <x:c r="D9" s="1" t="str">
        <x:v>Afrique</x:v>
      </x:c>
      <x:c r="E9" s="1">
        <x:v>20</x:v>
      </x:c>
      <x:c r="F9" s="1">
        <x:v>0.64276500000000003</x:v>
      </x:c>
      <x:c r="G9" s="2">
        <x:v>50956</x:v>
      </x:c>
      <x:c r="H9" s="1">
        <x:v>509560</x:v>
      </x:c>
      <x:c r="I9" s="4">
        <x:v>3266104.3622110323</x:v>
      </x:c>
      <x:c r="J9" s="20">
        <x:f t="shared" si="0"/>
        <x:v>5.0813351103607571</x:v>
      </x:c>
      <x:c r="K9" s="5">
        <x:v>5.0813351103607571</x:v>
      </x:c>
      <x:c r="L9" s="9">
        <x:v>14.18</x:v>
      </x:c>
      <x:c r="M9"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9" s="1" t="s">
        <x:v>45</x:v>
      </x:c>
      <x:c r="O9" s="1">
        <x:v>4723519288</x:v>
      </x:c>
      <x:c r="P9" s="1">
        <x:v>1296.089633</x:v>
      </x:c>
      <x:c r="Q9" s="7">
        <x:v>3.6444387546459143</x:v>
      </x:c>
      <x:c r="R9" s="5">
        <x:v>3.6444387546459143</x:v>
      </x:c>
      <x:c r="S9" s="15">
        <x:v>19.654551191571777</x:v>
      </x:c>
      <x:c r="T9" s="1" t="s">
        <x:v>23</x:v>
      </x:c>
      <x:c r="U9" s="1" t="s">
        <x:v>45</x:v>
      </x:c>
      <x:c r="V9">
        <x:v>0.04</x:v>
      </x:c>
      <x:c r="W9" s="17" t="s">
        <x:v>45</x:v>
      </x:c>
      <x:c r="X9" s="17">
        <x:f t="shared" si="1"/>
        <x:v>642765</x:v>
      </x:c>
      <x:c r="Y9" t="str">
        <x:f t="shared" si="2"/>
        <x:v>1 + 0.06 = 1.06</x:v>
      </x:c>
      <x:c r="Z9" t="str">
        <x:f t="shared" si="3"/>
        <x:v>1 + 5.08 = 6.08</x:v>
      </x:c>
      <x:c r="AB9" s="10"/>
    </x:row>
    <x:row r="10">
      <x:c r="A10" s="1" t="s">
        <x:v>46</x:v>
      </x:c>
      <x:c r="B10" s="1" t="s">
        <x:v>47</x:v>
      </x:c>
      <x:c r="C10" s="1" t="str">
        <x:v>DR congo (République démocratique du Congo)</x:v>
      </x:c>
      <x:c r="D10" s="1" t="str">
        <x:v>Afrique</x:v>
      </x:c>
      <x:c r="E10" s="1">
        <x:v>40</x:v>
      </x:c>
      <x:c r="F10" s="1">
        <x:v>55.004820000000002</x:v>
      </x:c>
      <x:c r="G10" s="2">
        <x:v>3055491</x:v>
      </x:c>
      <x:c r="H10" s="1">
        <x:v>30554910</x:v>
      </x:c>
      <x:c r="I10" s="4">
        <x:v>195846465.26015678</x:v>
      </x:c>
      <x:c r="J10" s="20">
        <x:f t="shared" si="0"/>
        <x:v>3.5605327907655506</x:v>
      </x:c>
      <x:c r="K10" s="5">
        <x:v>3.5605327907655506</x:v>
      </x:c>
      <x:c r="L10" s="9">
        <x:v>14.18</x:v>
      </x:c>
      <x:c r="M10"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0" s="1" t="s">
        <x:v>48</x:v>
      </x:c>
      <x:c r="O10" s="1">
        <x:v>283237904718</x:v>
      </x:c>
      <x:c r="P10" s="1">
        <x:v>55350.968589999997</x:v>
      </x:c>
      <x:c r="Q10" s="7">
        <x:v>5.1171264375881451</x:v>
      </x:c>
      <x:c r="R10" s="5">
        <x:v>5.1171264375881451</x:v>
      </x:c>
      <x:c r="S10" s="15">
        <x:v>19.654551191571777</x:v>
      </x:c>
      <x:c r="T10" s="1" t="s">
        <x:v>23</x:v>
      </x:c>
      <x:c r="U10" s="1" t="s">
        <x:v>48</x:v>
      </x:c>
      <x:c r="V10">
        <x:v>186.4</x:v>
      </x:c>
      <x:c r="W10" s="17" t="s">
        <x:v>49</x:v>
      </x:c>
      <x:c r="X10" s="17">
        <x:f t="shared" si="1"/>
        <x:v>55004820</x:v>
      </x:c>
      <x:c r="Y10" t="str">
        <x:f t="shared" si="2"/>
        <x:v>1 + 3.39 = 4.39</x:v>
      </x:c>
      <x:c r="Z10" t="str">
        <x:f t="shared" si="3"/>
        <x:v>1 + 3.56 = 4.56</x:v>
      </x:c>
      <x:c r="AB10" s="10"/>
    </x:row>
    <x:row r="11">
      <x:c r="A11" s="1" t="s">
        <x:v>50</x:v>
      </x:c>
      <x:c r="B11" s="1" t="s">
        <x:v>51</x:v>
      </x:c>
      <x:c r="C11" s="1" t="str">
        <x:v>Egypt (Égypte)</x:v>
      </x:c>
      <x:c r="D11" s="1" t="str">
        <x:v>Afrique</x:v>
      </x:c>
      <x:c r="E11" s="1">
        <x:v>20</x:v>
      </x:c>
      <x:c r="F11" s="1">
        <x:v>351.7749</x:v>
      </x:c>
      <x:c r="G11" s="2">
        <x:v>2411689</x:v>
      </x:c>
      <x:c r="H11" s="1">
        <x:v>24116890</x:v>
      </x:c>
      <x:c r="I11" s="4">
        <x:v>284812177.09656101</x:v>
      </x:c>
      <x:c r="J11" s="20">
        <x:f t="shared" si="0"/>
        <x:v>0.80964326078000737</x:v>
      </x:c>
      <x:c r="K11" s="5">
        <x:v>0.80964326078000737</x:v>
      </x:c>
      <x:c r="L11" s="9">
        <x:v>14.18</x:v>
      </x:c>
      <x:c r="M11" s="1" t="str">
        <x:v>Bien que l’Égypte possède un vaste territoire, la majeure partie du pays est constituée de déserts hyperarides, tandis que la population et l’agriculture sont fortement concentrées dans l’étroite vallée du Nil. Les terres arables sont principalement consacrées aux cultures alimentaires essentielles et au coton, ce qui ne laisse pratiquement aucune capacité physique pour soutenir un élevage bovin à grande échelle. Le gouvernement doit reconnaître que les coûts en ressources et les coûts économiques de la production animale sont prohibitifs. Accélérer la transition vers des sources de protéines végétales apporterait des bénéfices considérables à la macroéconomie nationale et à la santé publique, tout en créant des perspectives exceptionnelles pour transformer les terres désertiques en oasis vertes viables.</x:v>
      </x:c>
      <x:c r="N11" s="1" t="s">
        <x:v>52</x:v>
      </x:c>
      <x:c r="O11" s="1">
        <x:v>223558746922</x:v>
      </x:c>
      <x:c r="P11" s="1">
        <x:v>404142.76610000001</x:v>
      </x:c>
      <x:c r="Q11" s="7">
        <x:v>0.55316775573977051</x:v>
      </x:c>
      <x:c r="R11" s="5">
        <x:v>0.55316775573977051</x:v>
      </x:c>
      <x:c r="S11" s="15">
        <x:v>19.654551191571777</x:v>
      </x:c>
      <x:c r="T11" s="1" t="s">
        <x:v>23</x:v>
      </x:c>
      <x:c r="U11" s="1" t="s">
        <x:v>52</x:v>
      </x:c>
      <x:c r="V11">
        <x:v>0</x:v>
      </x:c>
      <x:c r="W11" s="17" t="s">
        <x:v>52</x:v>
      </x:c>
      <x:c r="X11" s="17">
        <x:f t="shared" si="1"/>
        <x:v>351774900</x:v>
      </x:c>
      <x:c r="Y11" t="str">
        <x:f t="shared" si="2"/>
        <x:v>1 + 0.00 = 1.00</x:v>
      </x:c>
      <x:c r="Z11" t="str">
        <x:f t="shared" si="3"/>
        <x:v>1 + 0.81 = 1.81</x:v>
      </x:c>
      <x:c r="AB11" s="10"/>
    </x:row>
    <x:row r="12">
      <x:c r="A12" s="1" t="s">
        <x:v>53</x:v>
      </x:c>
      <x:c r="B12" s="1" t="s">
        <x:v>54</x:v>
      </x:c>
      <x:c r="C12" s="1" t="str">
        <x:v>Eritrea (Érythrée)</x:v>
      </x:c>
      <x:c r="D12" s="1" t="str">
        <x:v>Afrique</x:v>
      </x:c>
      <x:c r="E12" s="1">
        <x:v>20</x:v>
      </x:c>
      <x:c r="F12" s="1">
        <x:v>6.3328119999999997</x:v>
      </x:c>
      <x:c r="G12" s="2">
        <x:v>2133821</x:v>
      </x:c>
      <x:c r="H12" s="1">
        <x:v>21338210</x:v>
      </x:c>
      <x:c r="I12" s="4">
        <x:v>79157420.885185406</x:v>
      </x:c>
      <x:c r="J12" s="20">
        <x:f t="shared" si="0"/>
        <x:v>12.499569051660686</x:v>
      </x:c>
      <x:c r="K12" s="5">
        <x:v>12.499569051660686</x:v>
      </x:c>
      <x:c r="L12" s="9">
        <x:v>14.18</x:v>
      </x:c>
      <x:c r="M1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2" s="1" t="s">
        <x:v>55</x:v>
      </x:c>
      <x:c r="O12" s="1">
        <x:v>197800939058</x:v>
      </x:c>
      <x:c r="P12" s="1">
        <x:v>2065</x:v>
      </x:c>
      <x:c r="Q12" s="7">
        <x:v>95.787379689104114</x:v>
      </x:c>
      <x:c r="R12" s="5">
        <x:v>95.787379689104114</x:v>
      </x:c>
      <x:c r="S12" s="15">
        <x:v>19.654551191571777</x:v>
      </x:c>
      <x:c r="T12" s="1" t="s">
        <x:v>23</x:v>
      </x:c>
      <x:c r="U12" s="1" t="s">
        <x:v>55</x:v>
      </x:c>
      <x:c r="V12">
        <x:v>0.95</x:v>
      </x:c>
      <x:c r="W12" s="17" t="s">
        <x:v>55</x:v>
      </x:c>
      <x:c r="X12" s="17">
        <x:f t="shared" si="1"/>
        <x:v>6332812</x:v>
      </x:c>
      <x:c r="Y12" t="str">
        <x:f t="shared" si="2"/>
        <x:v>1 + 0.15 = 1.15</x:v>
      </x:c>
      <x:c r="Z12" t="str">
        <x:f t="shared" si="3"/>
        <x:v>1 + 12.50 = 13.50</x:v>
      </x:c>
    </x:row>
    <x:row r="13">
      <x:c r="A13" s="1" t="s">
        <x:v>56</x:v>
      </x:c>
      <x:c r="B13" s="1" t="s">
        <x:v>57</x:v>
      </x:c>
      <x:c r="C13" s="1" t="str">
        <x:v>Ethiopia (Éthiopie)</x:v>
      </x:c>
      <x:c r="D13" s="1" t="str">
        <x:v>Afrique</x:v>
      </x:c>
      <x:c r="E13" s="1">
        <x:v>20</x:v>
      </x:c>
      <x:c r="F13" s="1">
        <x:v>150.9631</x:v>
      </x:c>
      <x:c r="G13" s="2">
        <x:v>70291776</x:v>
      </x:c>
      <x:c r="H13" s="1">
        <x:v>702917760</x:v>
      </x:c>
      <x:c r="I13" s="4">
        <x:v>4505461108.0375376</x:v>
      </x:c>
      <x:c r="J13" s="20">
        <x:f t="shared" si="0"/>
        <x:v>29.844783977260256</x:v>
      </x:c>
      <x:c r="K13" s="5">
        <x:v>29.844783977260256</x:v>
      </x:c>
      <x:c r="L13" s="9">
        <x:v>14.18</x:v>
      </x:c>
      <x:c r="M13" s="1" t="str">
        <x:v>Bien que l’Égypte possède un vaste territoire, la majeure partie du pays est constituée de déserts hyperarides, tandis que la population et l’agriculture sont fortement concentrées dans l’étroite vallée du Nil. Les terres arables sont principalement consacrées aux cultures alimentaires essentielles et au coton, ce qui ne laisse pratiquement aucune capacité physique pour soutenir un élevage bovin à grande échelle. Le gouvernement doit reconnaître que les coûts en ressources et les coûts économiques de la production animale sont prohibitifs. Accélérer la transition vers des sources de protéines végétales apporterait des bénéfices considérables à la macroéconomie nationale et à la santé publique, tout en créant des perspectives exceptionnelles pour transformer les terres désertiques en oasis vertes viables.</x:v>
      </x:c>
      <x:c r="N13" s="1" t="s">
        <x:v>58</x:v>
      </x:c>
      <x:c r="O13" s="1">
        <x:v>6515907051648</x:v>
      </x:c>
      <x:c r="P13" s="1">
        <x:v>111271.11229999999</x:v>
      </x:c>
      <x:c r="Q13" s="7">
        <x:v>58.558838111372054</x:v>
      </x:c>
      <x:c r="R13" s="5">
        <x:v>58.558838111372054</x:v>
      </x:c>
      <x:c r="S13" s="15">
        <x:v>19.654551191571777</x:v>
      </x:c>
      <x:c r="T13" s="1" t="s">
        <x:v>23</x:v>
      </x:c>
      <x:c r="U13" s="1" t="s">
        <x:v>58</x:v>
      </x:c>
      <x:c r="V13">
        <x:v>8.0500000000000007</x:v>
      </x:c>
      <x:c r="W13" s="17" t="s">
        <x:v>58</x:v>
      </x:c>
      <x:c r="X13" s="17">
        <x:f t="shared" si="1"/>
        <x:v>150963100</x:v>
      </x:c>
      <x:c r="Y13" t="str">
        <x:f t="shared" si="2"/>
        <x:v>1 + 0.05 = 1.05</x:v>
      </x:c>
      <x:c r="Z13" t="str">
        <x:f t="shared" si="3"/>
        <x:v>1 + 29.84 = 30.84</x:v>
      </x:c>
    </x:row>
    <x:row r="14">
      <x:c r="A14" s="1" t="s">
        <x:v>59</x:v>
      </x:c>
      <x:c r="B14" s="1" t="s">
        <x:v>60</x:v>
      </x:c>
      <x:c r="C14" s="1" t="str">
        <x:v>Gambia (Gambie)</x:v>
      </x:c>
      <x:c r="D14" s="1" t="str">
        <x:v>Afrique</x:v>
      </x:c>
      <x:c r="E14" s="1">
        <x:v>30</x:v>
      </x:c>
      <x:c r="F14" s="1">
        <x:v>2.3372440000000001</x:v>
      </x:c>
      <x:c r="G14" s="2">
        <x:v>486561</x:v>
      </x:c>
      <x:c r="H14" s="1">
        <x:v>4865610</x:v>
      </x:c>
      <x:c r="I14" s="4">
        <x:v>18049739.815718699</x:v>
      </x:c>
      <x:c r="J14" s="20">
        <x:f t="shared" si="0"/>
        <x:v>7.7226596006744268</x:v>
      </x:c>
      <x:c r="K14" s="5">
        <x:v>7.7226596006744268</x:v>
      </x:c>
      <x:c r="L14" s="9">
        <x:v>14.18</x:v>
      </x:c>
      <x:c r="M14"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4" s="1" t="s">
        <x:v>61</x:v>
      </x:c>
      <x:c r="O14" s="1">
        <x:v>45103231578</x:v>
      </x:c>
      <x:c r="P14" s="1">
        <x:v>2038.4174619999999</x:v>
      </x:c>
      <x:c r="Q14" s="7">
        <x:v>22.126592034659485</x:v>
      </x:c>
      <x:c r="R14" s="5">
        <x:v>22.126592034659485</x:v>
      </x:c>
      <x:c r="S14" s="15">
        <x:v>19.654551191571777</x:v>
      </x:c>
      <x:c r="T14" s="1" t="s">
        <x:v>23</x:v>
      </x:c>
      <x:c r="U14" s="1" t="s">
        <x:v>61</x:v>
      </x:c>
      <x:c r="V14">
        <x:v>0.54</x:v>
      </x:c>
      <x:c r="W14" s="17" t="s">
        <x:v>61</x:v>
      </x:c>
      <x:c r="X14" s="17">
        <x:f t="shared" si="1"/>
        <x:v>2337244</x:v>
      </x:c>
      <x:c r="Y14" t="str">
        <x:f t="shared" si="2"/>
        <x:v>1 + 0.23 = 1.23</x:v>
      </x:c>
      <x:c r="Z14" t="str">
        <x:f t="shared" si="3"/>
        <x:v>1 + 7.72 = 8.72</x:v>
      </x:c>
    </x:row>
    <x:row r="15">
      <x:c r="A15" s="1" t="s">
        <x:v>62</x:v>
      </x:c>
      <x:c r="B15" s="1" t="s">
        <x:v>63</x:v>
      </x:c>
      <x:c r="C15" s="1" t="str">
        <x:v>Ghana (Ghana)</x:v>
      </x:c>
      <x:c r="D15" s="1" t="str">
        <x:v>Afrique</x:v>
      </x:c>
      <x:c r="E15" s="1">
        <x:v>30</x:v>
      </x:c>
      <x:c r="F15" s="1">
        <x:v>37.65157</x:v>
      </x:c>
      <x:c r="G15" s="2">
        <x:v>1922000</x:v>
      </x:c>
      <x:c r="H15" s="1">
        <x:v>19220000</x:v>
      </x:c>
      <x:c r="I15" s="4">
        <x:v>123193590.23804075</x:v>
      </x:c>
      <x:c r="J15" s="20">
        <x:f t="shared" si="0"/>
        <x:v>3.2719376705417793</x:v>
      </x:c>
      <x:c r="K15" s="5">
        <x:v>3.2719376705417793</x:v>
      </x:c>
      <x:c r="L15" s="9">
        <x:v>14.18</x:v>
      </x:c>
      <x:c r="M15"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5" s="1" t="s">
        <x:v>64</x:v>
      </x:c>
      <x:c r="O15" s="1">
        <x:v>178165556000</x:v>
      </x:c>
      <x:c r="P15" s="1">
        <x:v>77594.279049999997</x:v>
      </x:c>
      <x:c r="Q15" s="7">
        <x:v>2.2961171645810916</x:v>
      </x:c>
      <x:c r="R15" s="5">
        <x:v>2.2961171645810916</x:v>
      </x:c>
      <x:c r="S15" s="15">
        <x:v>19.654551191571777</x:v>
      </x:c>
      <x:c r="T15" s="1" t="s">
        <x:v>23</x:v>
      </x:c>
      <x:c r="U15" s="1" t="s">
        <x:v>64</x:v>
      </x:c>
      <x:c r="V15">
        <x:v>16.7</x:v>
      </x:c>
      <x:c r="W15" s="17" t="s">
        <x:v>64</x:v>
      </x:c>
      <x:c r="X15" s="17">
        <x:f t="shared" si="1"/>
        <x:v>37651570</x:v>
      </x:c>
      <x:c r="Y15" t="str">
        <x:f t="shared" si="2"/>
        <x:v>1 + 0.44 = 1.44</x:v>
      </x:c>
      <x:c r="Z15" t="str">
        <x:f t="shared" si="3"/>
        <x:v>1 + 3.27 = 4.27</x:v>
      </x:c>
    </x:row>
    <x:row r="16">
      <x:c r="A16" s="1" t="s">
        <x:v>65</x:v>
      </x:c>
      <x:c r="B16" s="1" t="s">
        <x:v>66</x:v>
      </x:c>
      <x:c r="C16" s="1" t="str">
        <x:v>Guinea (Guinée)</x:v>
      </x:c>
      <x:c r="D16" s="1" t="str">
        <x:v>Afrique</x:v>
      </x:c>
      <x:c r="E16" s="1">
        <x:v>30</x:v>
      </x:c>
      <x:c r="F16" s="1">
        <x:v>28.331</x:v>
      </x:c>
      <x:c r="G16" s="2">
        <x:v>8368000</x:v>
      </x:c>
      <x:c r="H16" s="1">
        <x:v>83680000</x:v>
      </x:c>
      <x:c r="I16" s="4">
        <x:v>762296022.43076217</x:v>
      </x:c>
      <x:c r="J16" s="20">
        <x:f t="shared" si="0"/>
        <x:v>26.90678135013809</x:v>
      </x:c>
      <x:c r="K16" s="5">
        <x:v>26.90678135013809</x:v>
      </x:c>
      <x:c r="L16" s="9">
        <x:v>14.18</x:v>
      </x:c>
      <x:c r="M16"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6" s="1" t="s">
        <x:v>67</x:v>
      </x:c>
      <x:c r="O16" s="1">
        <x:v>775696864000</x:v>
      </x:c>
      <x:c r="P16" s="1">
        <x:v>16091.81784</x:v>
      </x:c>
      <x:c r="Q16" s="7">
        <x:v>48.204427350142062</x:v>
      </x:c>
      <x:c r="R16" s="5">
        <x:v>48.204427350142062</x:v>
      </x:c>
      <x:c r="S16" s="15">
        <x:v>19.654551191571777</x:v>
      </x:c>
      <x:c r="T16" s="1" t="s">
        <x:v>23</x:v>
      </x:c>
      <x:c r="U16" s="1" t="s">
        <x:v>67</x:v>
      </x:c>
      <x:c r="V16">
        <x:v>19.66</x:v>
      </x:c>
      <x:c r="W16" s="17" t="s">
        <x:v>67</x:v>
      </x:c>
      <x:c r="X16" s="17">
        <x:f t="shared" si="1"/>
        <x:v>28331000</x:v>
      </x:c>
      <x:c r="Y16" t="str">
        <x:f t="shared" si="2"/>
        <x:v>1 + 0.69 = 1.69</x:v>
      </x:c>
      <x:c r="Z16" t="str">
        <x:f t="shared" si="3"/>
        <x:v>1 + 26.91 = 27.91</x:v>
      </x:c>
    </x:row>
    <x:row r="17">
      <x:c r="A17" s="1" t="s">
        <x:v>68</x:v>
      </x:c>
      <x:c r="B17" s="1" t="s">
        <x:v>69</x:v>
      </x:c>
      <x:c r="C17" s="1" t="str">
        <x:v>Guinea-Bissau (Guinée-Bissau)</x:v>
      </x:c>
      <x:c r="D17" s="1" t="str">
        <x:v>Afrique</x:v>
      </x:c>
      <x:c r="E17" s="1">
        <x:v>30</x:v>
      </x:c>
      <x:c r="F17" s="1">
        <x:v>2.5793439999999999</x:v>
      </x:c>
      <x:c r="G17" s="2">
        <x:v>720752</x:v>
      </x:c>
      <x:c r="H17" s="1">
        <x:v>7207520</x:v>
      </x:c>
      <x:c r="I17" s="4">
        <x:v>85118332.532387272</x:v>
      </x:c>
      <x:c r="J17" s="20">
        <x:f t="shared" si="0"/>
        <x:v>32.999992452494617</x:v>
      </x:c>
      <x:c r="K17" s="5">
        <x:v>32.999992452494617</x:v>
      </x:c>
      <x:c r="L17" s="9">
        <x:v>14.18</x:v>
      </x:c>
      <x:c r="M17"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7" s="1" t="s">
        <x:v>70</x:v>
      </x:c>
      <x:c r="O17" s="1">
        <x:v>66812268896</x:v>
      </x:c>
      <x:c r="P17" s="1">
        <x:v>1638.517533</x:v>
      </x:c>
      <x:c r="Q17" s="7">
        <x:v>40.776047585936936</x:v>
      </x:c>
      <x:c r="R17" s="5">
        <x:v>40.776047585936936</x:v>
      </x:c>
      <x:c r="S17" s="15">
        <x:v>19.654551191571777</x:v>
      </x:c>
      <x:c r="T17" s="1" t="s">
        <x:v>23</x:v>
      </x:c>
      <x:c r="U17" s="1" t="s">
        <x:v>70</x:v>
      </x:c>
      <x:c r="V17">
        <x:v>0.74</x:v>
      </x:c>
      <x:c r="W17" s="17" t="s">
        <x:v>70</x:v>
      </x:c>
      <x:c r="X17" s="17">
        <x:f t="shared" si="1"/>
        <x:v>2579344</x:v>
      </x:c>
      <x:c r="Y17" t="str">
        <x:f t="shared" si="2"/>
        <x:v>1 + 0.29 = 1.29</x:v>
      </x:c>
      <x:c r="Z17" t="str">
        <x:f t="shared" si="3"/>
        <x:v>1 + 33.00 = 34.00</x:v>
      </x:c>
    </x:row>
    <x:row r="18">
      <x:c r="A18" s="1" t="s">
        <x:v>71</x:v>
      </x:c>
      <x:c r="B18" s="1" t="s">
        <x:v>72</x:v>
      </x:c>
      <x:c r="C18" s="1" t="str">
        <x:v>Ivory Coast (Côte d’Ivoire)</x:v>
      </x:c>
      <x:c r="D18" s="1" t="str">
        <x:v>Afrique</x:v>
      </x:c>
      <x:c r="E18" s="1">
        <x:v>40</x:v>
      </x:c>
      <x:c r="F18" s="1">
        <x:v>24.857530000000001</x:v>
      </x:c>
      <x:c r="G18" s="2">
        <x:v>1756473</x:v>
      </x:c>
      <x:c r="H18" s="1">
        <x:v>17564730</x:v>
      </x:c>
      <x:c r="I18" s="4">
        <x:v>160008649.78573471</x:v>
      </x:c>
      <x:c r="J18" s="20">
        <x:f t="shared" si="0"/>
        <x:v>6.4370293341991225</x:v>
      </x:c>
      <x:c r="K18" s="5">
        <x:v>6.4370293341991225</x:v>
      </x:c>
      <x:c r="L18" s="9">
        <x:v>14.18</x:v>
      </x:c>
      <x:c r="M18"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8" s="1" t="s">
        <x:v>73</x:v>
      </x:c>
      <x:c r="O18" s="1">
        <x:v>162821534154</x:v>
      </x:c>
      <x:c r="P18" s="1">
        <x:v>70043.191479999994</x:v>
      </x:c>
      <x:c r="Q18" s="7">
        <x:v>2.3245875967900713</x:v>
      </x:c>
      <x:c r="R18" s="5">
        <x:v>2.3245875967900713</x:v>
      </x:c>
      <x:c r="S18" s="15">
        <x:v>19.654551191571777</x:v>
      </x:c>
      <x:c r="T18" s="1" t="s">
        <x:v>23</x:v>
      </x:c>
      <x:c r="U18" s="1" t="s">
        <x:v>73</x:v>
      </x:c>
      <x:c r="V18">
        <x:v>21.67</x:v>
      </x:c>
      <x:c r="W18" s="18" t="s">
        <x:v>74</x:v>
      </x:c>
      <x:c r="X18" s="17">
        <x:f t="shared" si="1"/>
        <x:v>24857530</x:v>
      </x:c>
      <x:c r="Y18" t="str">
        <x:f t="shared" si="2"/>
        <x:v>1 + 0.87 = 1.87</x:v>
      </x:c>
      <x:c r="Z18" t="str">
        <x:f t="shared" si="3"/>
        <x:v>1 + 6.44 = 7.44</x:v>
      </x:c>
    </x:row>
    <x:row r="19">
      <x:c r="A19" s="1" t="s">
        <x:v>75</x:v>
      </x:c>
      <x:c r="B19" s="1" t="s">
        <x:v>76</x:v>
      </x:c>
      <x:c r="C19" s="1" t="str">
        <x:v>Kenya (Kenya)</x:v>
      </x:c>
      <x:c r="D19" s="1" t="str">
        <x:v>Afrique</x:v>
      </x:c>
      <x:c r="E19" s="1">
        <x:v>40</x:v>
      </x:c>
      <x:c r="F19" s="1">
        <x:v>81.012889999999999</x:v>
      </x:c>
      <x:c r="G19" s="2">
        <x:v>21653595</x:v>
      </x:c>
      <x:c r="H19" s="1">
        <x:v>216535950</x:v>
      </x:c>
      <x:c r="I19" s="4">
        <x:v>1972568037.7421894</x:v>
      </x:c>
      <x:c r="J19" s="20">
        <x:f t="shared" si="0"/>
        <x:v>24.348817055436356</x:v>
      </x:c>
      <x:c r="K19" s="5">
        <x:v>24.348817055436356</x:v>
      </x:c>
      <x:c r="L19" s="9">
        <x:v>14.18</x:v>
      </x:c>
      <x:c r="M19"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9" s="1" t="s">
        <x:v>77</x:v>
      </x:c>
      <x:c r="O19" s="1">
        <x:v>2007244949310</x:v>
      </x:c>
      <x:c r="P19" s="1">
        <x:v>110347.07950000001</x:v>
      </x:c>
      <x:c r="Q19" s="7">
        <x:v>18.190286126331056</x:v>
      </x:c>
      <x:c r="R19" s="5">
        <x:v>18.190286126331056</x:v>
      </x:c>
      <x:c r="S19" s="15">
        <x:v>19.654551191571777</x:v>
      </x:c>
      <x:c r="T19" s="1" t="s">
        <x:v>23</x:v>
      </x:c>
      <x:c r="U19" s="1" t="s">
        <x:v>77</x:v>
      </x:c>
      <x:c r="V19">
        <x:v>-7.35</x:v>
      </x:c>
      <x:c r="W19" s="17" t="s">
        <x:v>77</x:v>
      </x:c>
      <x:c r="X19" s="17">
        <x:f t="shared" si="1"/>
        <x:v>81012890</x:v>
      </x:c>
      <x:c r="Y19" t="str">
        <x:f t="shared" si="2"/>
        <x:v>1 + -0.09 = 0.91</x:v>
      </x:c>
      <x:c r="Z19" t="str">
        <x:f t="shared" si="3"/>
        <x:v>1 + 24.35 = 25.35</x:v>
      </x:c>
    </x:row>
    <x:row r="20">
      <x:c r="A20" s="1" t="s">
        <x:v>78</x:v>
      </x:c>
      <x:c r="B20" s="1" t="s">
        <x:v>79</x:v>
      </x:c>
      <x:c r="C20" s="1" t="str">
        <x:v>Lesotho (Lesotho)</x:v>
      </x:c>
      <x:c r="D20" s="1" t="str">
        <x:v>Afrique</x:v>
      </x:c>
      <x:c r="E20" s="1">
        <x:v>20</x:v>
      </x:c>
      <x:c r="F20" s="1">
        <x:v>2.5269889999999999</x:v>
      </x:c>
      <x:c r="G20" s="2">
        <x:v>425157</x:v>
      </x:c>
      <x:c r="H20" s="1">
        <x:v>4251570</x:v>
      </x:c>
      <x:c r="I20" s="4">
        <x:v>27251101.584201191</x:v>
      </x:c>
      <x:c r="J20" s="20">
        <x:f t="shared" si="0"/>
        <x:v>10.784020660240781</x:v>
      </x:c>
      <x:c r="K20" s="5">
        <x:v>10.784020660240781</x:v>
      </x:c>
      <x:c r="L20" s="9">
        <x:v>14.18</x:v>
      </x:c>
      <x:c r="M20"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20" s="1" t="s">
        <x:v>80</x:v>
      </x:c>
      <x:c r="O20" s="1">
        <x:v>39411203586</x:v>
      </x:c>
      <x:c r="P20" s="1">
        <x:v>2496.1346800000001</x:v>
      </x:c>
      <x:c r="Q20" s="7">
        <x:v>15.788893084086313</x:v>
      </x:c>
      <x:c r="R20" s="5">
        <x:v>15.788893084086313</x:v>
      </x:c>
      <x:c r="S20" s="15">
        <x:v>19.654551191571777</x:v>
      </x:c>
      <x:c r="T20" s="1" t="s">
        <x:v>23</x:v>
      </x:c>
      <x:c r="U20" s="1" t="s">
        <x:v>80</x:v>
      </x:c>
      <x:c r="V20">
        <x:v>0</x:v>
      </x:c>
      <x:c r="W20" s="17" t="s">
        <x:v>80</x:v>
      </x:c>
      <x:c r="X20" s="17">
        <x:f t="shared" si="1"/>
        <x:v>2526989</x:v>
      </x:c>
      <x:c r="Y20" t="str">
        <x:f t="shared" si="2"/>
        <x:v>1 + 0.00 = 1.00</x:v>
      </x:c>
      <x:c r="Z20" t="str">
        <x:f t="shared" si="3"/>
        <x:v>1 + 10.78 = 11.78</x:v>
      </x:c>
    </x:row>
    <x:row r="21">
      <x:c r="A21" s="1" t="s">
        <x:v>81</x:v>
      </x:c>
      <x:c r="B21" s="1" t="s">
        <x:v>82</x:v>
      </x:c>
      <x:c r="C21" s="1" t="str">
        <x:v>Liberia (Libéria)</x:v>
      </x:c>
      <x:c r="D21" s="1" t="str">
        <x:v>Afrique</x:v>
      </x:c>
      <x:c r="E21" s="1">
        <x:v>20</x:v>
      </x:c>
      <x:c r="F21" s="1">
        <x:v>2.2224219999999999</x:v>
      </x:c>
      <x:c r="G21" s="2">
        <x:v>45505</x:v>
      </x:c>
      <x:c r="H21" s="1">
        <x:v>455050</x:v>
      </x:c>
      <x:c r="I21" s="4">
        <x:v>4145349.0082112616</x:v>
      </x:c>
      <x:c r="J21" s="20">
        <x:f t="shared" si="0"/>
        <x:v>1.8652393686758237</x:v>
      </x:c>
      <x:c r="K21" s="5">
        <x:v>1.8652393686758237</x:v>
      </x:c>
      <x:c r="L21" s="9">
        <x:v>14.18</x:v>
      </x:c>
      <x:c r="M2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21" s="1" t="s">
        <x:v>83</x:v>
      </x:c>
      <x:c r="O21" s="1">
        <x:v>4218222490</x:v>
      </x:c>
      <x:c r="P21" s="1">
        <x:v>3509</x:v>
      </x:c>
      <x:c r="Q21" s="7">
        <x:v>1.2021152721573098</x:v>
      </x:c>
      <x:c r="R21" s="5">
        <x:v>1.2021152721573098</x:v>
      </x:c>
      <x:c r="S21" s="15">
        <x:v>19.654551191571777</x:v>
      </x:c>
      <x:c r="T21" s="1" t="s">
        <x:v>23</x:v>
      </x:c>
      <x:c r="U21" s="1" t="s">
        <x:v>83</x:v>
      </x:c>
      <x:c r="V21">
        <x:v>57.48</x:v>
      </x:c>
      <x:c r="W21" s="17" t="s">
        <x:v>83</x:v>
      </x:c>
      <x:c r="X21" s="17">
        <x:f t="shared" si="1"/>
        <x:v>2222422</x:v>
      </x:c>
      <x:c r="Y21" t="str">
        <x:f t="shared" si="2"/>
        <x:v>1 + 25.86 = 26.86</x:v>
      </x:c>
      <x:c r="Z21" t="str">
        <x:f t="shared" si="3"/>
        <x:v>1 + 1.87 = 2.87</x:v>
      </x:c>
    </x:row>
    <x:row r="22">
      <x:c r="A22" s="1" t="s">
        <x:v>84</x:v>
      </x:c>
      <x:c r="B22" s="1" t="s">
        <x:v>85</x:v>
      </x:c>
      <x:c r="C22" s="1" t="str">
        <x:v>Madagascar (Madagascar)</x:v>
      </x:c>
      <x:c r="D22" s="1" t="str">
        <x:v>Afrique</x:v>
      </x:c>
      <x:c r="E22" s="1">
        <x:v>20</x:v>
      </x:c>
      <x:c r="F22" s="1">
        <x:v>29.584599999999998</x:v>
      </x:c>
      <x:c r="G22" s="2">
        <x:v>8948613</x:v>
      </x:c>
      <x:c r="H22" s="1">
        <x:v>89486130</x:v>
      </x:c>
      <x:c r="I22" s="4">
        <x:v>573575319.00145912</x:v>
      </x:c>
      <x:c r="J22" s="20">
        <x:f t="shared" si="0"/>
        <x:v>19.387631369072395</x:v>
      </x:c>
      <x:c r="K22" s="5">
        <x:v>19.387631369072395</x:v>
      </x:c>
      <x:c r="L22" s="9">
        <x:v>14.18</x:v>
      </x:c>
      <x:c r="M2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22" s="1" t="s">
        <x:v>86</x:v>
      </x:c>
      <x:c r="O22" s="1">
        <x:v>829518527874</x:v>
      </x:c>
      <x:c r="P22" s="1">
        <x:v>14472.60332</x:v>
      </x:c>
      <x:c r="Q22" s="7">
        <x:v>57.316469575841317</x:v>
      </x:c>
      <x:c r="R22" s="5">
        <x:v>57.316469575841317</x:v>
      </x:c>
      <x:c r="S22" s="15">
        <x:v>19.654551191571777</x:v>
      </x:c>
      <x:c r="T22" s="1" t="s">
        <x:v>23</x:v>
      </x:c>
      <x:c r="U22" s="1" t="s">
        <x:v>86</x:v>
      </x:c>
      <x:c r="V22">
        <x:v>8.26</x:v>
      </x:c>
      <x:c r="W22" s="17" t="s">
        <x:v>87</x:v>
      </x:c>
      <x:c r="X22" s="17">
        <x:f t="shared" si="1"/>
        <x:v>29584600</x:v>
      </x:c>
      <x:c r="Y22" t="str">
        <x:f t="shared" si="2"/>
        <x:v>1 + 0.28 = 1.28</x:v>
      </x:c>
      <x:c r="Z22" t="str">
        <x:f t="shared" si="3"/>
        <x:v>1 + 19.39 = 20.39</x:v>
      </x:c>
      <x:c r="AC22" s="10"/>
    </x:row>
    <x:row r="23">
      <x:c r="A23" s="1" t="s">
        <x:v>88</x:v>
      </x:c>
      <x:c r="B23" s="1" t="s">
        <x:v>89</x:v>
      </x:c>
      <x:c r="C23" s="1" t="str">
        <x:v>Malawi (Malawi)</x:v>
      </x:c>
      <x:c r="D23" s="1" t="str">
        <x:v>Afrique</x:v>
      </x:c>
      <x:c r="E23" s="1">
        <x:v>20</x:v>
      </x:c>
      <x:c r="F23" s="1">
        <x:v>10.95078</x:v>
      </x:c>
      <x:c r="G23" s="2">
        <x:v>1946033</x:v>
      </x:c>
      <x:c r="H23" s="1">
        <x:v>19460330</x:v>
      </x:c>
      <x:c r="I23" s="4">
        <x:v>177276913.88850424</x:v>
      </x:c>
      <x:c r="J23" s="20">
        <x:f t="shared" si="0"/>
        <x:v>16.188519346430503</x:v>
      </x:c>
      <x:c r="K23" s="5">
        <x:v>16.188519346430503</x:v>
      </x:c>
      <x:c r="L23" s="9">
        <x:v>14.18</x:v>
      </x:c>
      <x:c r="M23"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23" s="1" t="s">
        <x:v>87</x:v>
      </x:c>
      <x:c r="O23" s="1">
        <x:v>180393367034</x:v>
      </x:c>
      <x:c r="P23" s="1">
        <x:v>12626.717490000001</x:v>
      </x:c>
      <x:c r="Q23" s="7">
        <x:v>14.286639989915543</x:v>
      </x:c>
      <x:c r="R23" s="5">
        <x:v>14.286639989915543</x:v>
      </x:c>
      <x:c r="S23" s="15">
        <x:v>19.654551191571777</x:v>
      </x:c>
      <x:c r="T23" s="1" t="s">
        <x:v>23</x:v>
      </x:c>
      <x:c r="U23" s="1" t="s">
        <x:v>87</x:v>
      </x:c>
      <x:c r="V23">
        <x:v>69.42</x:v>
      </x:c>
      <x:c r="W23" s="17" t="s">
        <x:v>90</x:v>
      </x:c>
      <x:c r="X23" s="17">
        <x:f t="shared" si="1"/>
        <x:v>10950780</x:v>
      </x:c>
      <x:c r="Y23" t="str">
        <x:f t="shared" si="2"/>
        <x:v>1 + 6.34 = 7.34</x:v>
      </x:c>
      <x:c r="Z23" t="str">
        <x:f t="shared" si="3"/>
        <x:v>1 + 16.19 = 17.19</x:v>
      </x:c>
      <x:c r="AC23" s="10"/>
    </x:row>
    <x:row r="24">
      <x:c r="A24" s="1" t="s">
        <x:v>91</x:v>
      </x:c>
      <x:c r="B24" s="1" t="s">
        <x:v>92</x:v>
      </x:c>
      <x:c r="C24" s="1" t="str">
        <x:v>Mali (Mali)</x:v>
      </x:c>
      <x:c r="D24" s="1" t="str">
        <x:v>Afrique</x:v>
      </x:c>
      <x:c r="E24" s="1">
        <x:v>40</x:v>
      </x:c>
      <x:c r="F24" s="1">
        <x:v>44.154679999999999</x:v>
      </x:c>
      <x:c r="G24" s="2">
        <x:v>12474462</x:v>
      </x:c>
      <x:c r="H24" s="1">
        <x:v>124744620</x:v>
      </x:c>
      <x:c r="I24" s="4">
        <x:v>462759640.49948502</x:v>
      </x:c>
      <x:c r="J24" s="20">
        <x:f t="shared" si="0"/>
        <x:v>10.480421112767322</x:v>
      </x:c>
      <x:c r="K24" s="5">
        <x:v>10.480421112767322</x:v>
      </x:c>
      <x:c r="L24" s="9">
        <x:v>14.18</x:v>
      </x:c>
      <x:c r="M24"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24" s="1" t="s">
        <x:v>93</x:v>
      </x:c>
      <x:c r="O24" s="1">
        <x:v>1156357678476</x:v>
      </x:c>
      <x:c r="P24" s="1">
        <x:v>19140.461609999998</x:v>
      </x:c>
      <x:c r="Q24" s="7">
        <x:v>60.414304630555876</x:v>
      </x:c>
      <x:c r="R24" s="5">
        <x:v>60.414304630555876</x:v>
      </x:c>
      <x:c r="S24" s="15">
        <x:v>19.654551191571777</x:v>
      </x:c>
      <x:c r="T24" s="1" t="s">
        <x:v>23</x:v>
      </x:c>
      <x:c r="U24" s="1" t="s">
        <x:v>93</x:v>
      </x:c>
      <x:c r="V24">
        <x:v>0</x:v>
      </x:c>
      <x:c r="W24" s="17" t="s">
        <x:v>94</x:v>
      </x:c>
      <x:c r="X24" s="17">
        <x:f t="shared" si="1"/>
        <x:v>44154680</x:v>
      </x:c>
      <x:c r="Y24" t="str">
        <x:f t="shared" si="2"/>
        <x:v>1 + 0.00 = 1.00</x:v>
      </x:c>
      <x:c r="Z24" t="str">
        <x:f t="shared" si="3"/>
        <x:v>1 + 10.48 = 11.48</x:v>
      </x:c>
      <x:c r="AC24" s="10"/>
    </x:row>
    <x:row r="25">
      <x:c r="A25" s="1" t="s">
        <x:v>95</x:v>
      </x:c>
      <x:c r="B25" s="1" t="s">
        <x:v>96</x:v>
      </x:c>
      <x:c r="C25" s="1" t="str">
        <x:v>Mauritania (Mauritanie)</x:v>
      </x:c>
      <x:c r="D25" s="1" t="str">
        <x:v>Afrique</x:v>
      </x:c>
      <x:c r="E25" s="1">
        <x:v>30</x:v>
      </x:c>
      <x:c r="F25" s="1">
        <x:v>14.289630000000001</x:v>
      </x:c>
      <x:c r="G25" s="2">
        <x:v>1953792</x:v>
      </x:c>
      <x:c r="H25" s="1">
        <x:v>19537920</x:v>
      </x:c>
      <x:c r="I25" s="4">
        <x:v>177983732.10528725</x:v>
      </x:c>
      <x:c r="J25" s="20">
        <x:f t="shared" si="0"/>
        <x:v>12.455447209290041</x:v>
      </x:c>
      <x:c r="K25" s="5">
        <x:v>12.455447209290041</x:v>
      </x:c>
      <x:c r="L25" s="9">
        <x:v>14.18</x:v>
      </x:c>
      <x:c r="M25"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25" s="1" t="s">
        <x:v>97</x:v>
      </x:c>
      <x:c r="O25" s="1">
        <x:v>181112610816</x:v>
      </x:c>
      <x:c r="P25" s="1">
        <x:v>9996.2496580000006</x:v>
      </x:c>
      <x:c r="Q25" s="7">
        <x:v>18.118055972227101</x:v>
      </x:c>
      <x:c r="R25" s="5">
        <x:v>18.118055972227101</x:v>
      </x:c>
      <x:c r="S25" s="15">
        <x:v>19.654551191571777</x:v>
      </x:c>
      <x:c r="T25" s="1" t="s">
        <x:v>23</x:v>
      </x:c>
      <x:c r="U25" s="1" t="s">
        <x:v>97</x:v>
      </x:c>
      <x:c r="V25">
        <x:v>0</x:v>
      </x:c>
      <x:c r="W25" s="17" t="s">
        <x:v>98</x:v>
      </x:c>
      <x:c r="X25" s="17">
        <x:f t="shared" si="1"/>
        <x:v>14289630</x:v>
      </x:c>
      <x:c r="Y25" t="str">
        <x:f t="shared" si="2"/>
        <x:v>1 + 0.00 = 1.00</x:v>
      </x:c>
      <x:c r="Z25" t="str">
        <x:f t="shared" si="3"/>
        <x:v>1 + 12.46 = 13.46</x:v>
      </x:c>
      <x:c r="AC25" s="10"/>
    </x:row>
    <x:row r="26">
      <x:c r="A26" s="1" t="s">
        <x:v>99</x:v>
      </x:c>
      <x:c r="B26" s="1" t="s">
        <x:v>100</x:v>
      </x:c>
      <x:c r="C26" s="1" t="str">
        <x:v>Mauritius (Maurice)</x:v>
      </x:c>
      <x:c r="D26" s="1" t="str">
        <x:v>Afrique</x:v>
      </x:c>
      <x:c r="E26" s="1">
        <x:v>30</x:v>
      </x:c>
      <x:c r="F26" s="1">
        <x:v>6.8516409999999999</x:v>
      </x:c>
      <x:c r="G26" s="2">
        <x:v>3761</x:v>
      </x:c>
      <x:c r="H26" s="1">
        <x:v>37610</x:v>
      </x:c>
      <x:c r="I26" s="4">
        <x:v>342614.16591325245</x:v>
      </x:c>
      <x:c r="J26" s="20">
        <x:f t="shared" si="0"/>
        <x:v>5.0004687331582677E-2</x:v>
      </x:c>
      <x:c r="K26" s="5">
        <x:v>5.0004687331582677E-2</x:v>
      </x:c>
      <x:c r="L26" s="9">
        <x:v>14.18</x:v>
      </x:c>
      <x:c r="M26" s="1" t="str">
        <x:v>Importer ou adopter des aliments végétaliens afin de préserver la nature tout en répondant aux besoins en protéines.</x:v>
      </x:c>
      <x:c r="N26" s="1" t="s">
        <x:v>98</x:v>
      </x:c>
      <x:c r="O26" s="1">
        <x:v>348637178</x:v>
      </x:c>
      <x:c r="P26" s="1">
        <x:v>11529.042670000001</x:v>
      </x:c>
      <x:c r="Q26" s="7">
        <x:v>3.0239906987871355E-2</x:v>
      </x:c>
      <x:c r="R26" s="5">
        <x:v>3.0239906987871355E-2</x:v>
      </x:c>
      <x:c r="S26" s="15">
        <x:v>19.654551191571777</x:v>
      </x:c>
      <x:c r="T26" s="1" t="s">
        <x:v>23</x:v>
      </x:c>
      <x:c r="U26" s="1" t="s">
        <x:v>98</x:v>
      </x:c>
      <x:c r="V26">
        <x:v>17.23</x:v>
      </x:c>
      <x:c r="W26" s="17" t="s">
        <x:v>101</x:v>
      </x:c>
      <x:c r="X26" s="17">
        <x:f t="shared" si="1"/>
        <x:v>6851641</x:v>
      </x:c>
      <x:c r="Y26" t="str">
        <x:f t="shared" si="2"/>
        <x:v>1 + 2.51 = 3.51</x:v>
      </x:c>
      <x:c r="Z26" t="str">
        <x:f t="shared" si="3"/>
        <x:v>1 + 0.05 = 1.05</x:v>
      </x:c>
      <x:c r="AC26" s="10"/>
    </x:row>
    <x:row r="27">
      <x:c r="A27" s="1" t="s">
        <x:v>102</x:v>
      </x:c>
      <x:c r="B27" s="1" t="s">
        <x:v>103</x:v>
      </x:c>
      <x:c r="C27" s="1" t="str">
        <x:v>Morocco (Maroc)</x:v>
      </x:c>
      <x:c r="D27" s="1" t="str">
        <x:v>Afrique</x:v>
      </x:c>
      <x:c r="E27" s="1">
        <x:v>30</x:v>
      </x:c>
      <x:c r="F27" s="1">
        <x:v>93.084130000000002</x:v>
      </x:c>
      <x:c r="G27" s="2">
        <x:v>3166900</x:v>
      </x:c>
      <x:c r="H27" s="1">
        <x:v>31669000</x:v>
      </x:c>
      <x:c r="I27" s="4">
        <x:v>288493699.02437627</x:v>
      </x:c>
      <x:c r="J27" s="20">
        <x:f t="shared" si="0"/>
        <x:v>3.0992791040145757</x:v>
      </x:c>
      <x:c r="K27" s="5">
        <x:v>3.0992791040145757</x:v>
      </x:c>
      <x:c r="L27" s="9">
        <x:v>14.18</x:v>
      </x:c>
      <x:c r="M27"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27" s="1" t="s">
        <x:v>104</x:v>
      </x:c>
      <x:c r="O27" s="1">
        <x:v>293565296200</x:v>
      </x:c>
      <x:c r="P27" s="1">
        <x:v>142866.32920000001</x:v>
      </x:c>
      <x:c r="Q27" s="7">
        <x:v>2.0548249391151852</x:v>
      </x:c>
      <x:c r="R27" s="5">
        <x:v>2.0548249391151852</x:v>
      </x:c>
      <x:c r="S27" s="15">
        <x:v>19.654551191571777</x:v>
      </x:c>
      <x:c r="T27" s="1" t="s">
        <x:v>23</x:v>
      </x:c>
      <x:c r="U27" s="1" t="s">
        <x:v>104</x:v>
      </x:c>
      <x:c r="V27">
        <x:v>-3.76</x:v>
      </x:c>
      <x:c r="W27" s="17" t="s">
        <x:v>104</x:v>
      </x:c>
      <x:c r="X27" s="17">
        <x:f t="shared" si="1"/>
        <x:v>93084130</x:v>
      </x:c>
      <x:c r="Y27" t="str">
        <x:f t="shared" si="2"/>
        <x:v>1 + -0.04 = 0.96</x:v>
      </x:c>
      <x:c r="Z27" t="str">
        <x:f t="shared" si="3"/>
        <x:v>1 + 3.10 = 4.10</x:v>
      </x:c>
      <x:c r="AC27" s="10"/>
    </x:row>
    <x:row r="28">
      <x:c r="A28" s="1" t="s">
        <x:v>105</x:v>
      </x:c>
      <x:c r="B28" s="1" t="s">
        <x:v>106</x:v>
      </x:c>
      <x:c r="C28" s="1" t="str">
        <x:v>Mozambique (Mozambique)</x:v>
      </x:c>
      <x:c r="D28" s="1" t="str">
        <x:v>Afrique</x:v>
      </x:c>
      <x:c r="E28" s="1">
        <x:v>30</x:v>
      </x:c>
      <x:c r="F28" s="1">
        <x:v>35.39987</x:v>
      </x:c>
      <x:c r="G28" s="2">
        <x:v>2603581</x:v>
      </x:c>
      <x:c r="H28" s="1">
        <x:v>26035810</x:v>
      </x:c>
      <x:c r="I28" s="4">
        <x:v>166880588.3795777</x:v>
      </x:c>
      <x:c r="J28" s="20">
        <x:f t="shared" si="0"/>
        <x:v>4.7141582265578288</x:v>
      </x:c>
      <x:c r="K28" s="5">
        <x:v>4.7141582265578288</x:v>
      </x:c>
      <x:c r="L28" s="9">
        <x:v>14.18</x:v>
      </x:c>
      <x:c r="M28"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28" s="1" t="s">
        <x:v>107</x:v>
      </x:c>
      <x:c r="O28" s="1">
        <x:v>241346751538</x:v>
      </x:c>
      <x:c r="P28" s="1">
        <x:v>15776.75863</x:v>
      </x:c>
      <x:c r="Q28" s="7">
        <x:v>15.29761322956869</x:v>
      </x:c>
      <x:c r="R28" s="5">
        <x:v>15.29761322956869</x:v>
      </x:c>
      <x:c r="S28" s="15">
        <x:v>19.654551191571777</x:v>
      </x:c>
      <x:c r="T28" s="1" t="s">
        <x:v>23</x:v>
      </x:c>
      <x:c r="U28" s="1" t="s">
        <x:v>107</x:v>
      </x:c>
      <x:c r="V28">
        <x:v>63.72</x:v>
      </x:c>
      <x:c r="W28" s="17" t="s">
        <x:v>107</x:v>
      </x:c>
      <x:c r="X28" s="17">
        <x:f t="shared" si="1"/>
        <x:v>35399870</x:v>
      </x:c>
      <x:c r="Y28" t="str">
        <x:f t="shared" si="2"/>
        <x:v>1 + 1.80 = 2.80</x:v>
      </x:c>
      <x:c r="Z28" t="str">
        <x:f t="shared" si="3"/>
        <x:v>1 + 4.71 = 5.71</x:v>
      </x:c>
      <x:c r="AC28" s="10"/>
    </x:row>
    <x:row r="29">
      <x:c r="A29" s="1" t="s">
        <x:v>108</x:v>
      </x:c>
      <x:c r="B29" s="1" t="s">
        <x:v>109</x:v>
      </x:c>
      <x:c r="C29" s="1" t="str">
        <x:v>Namibia (Namibie)</x:v>
      </x:c>
      <x:c r="D29" s="1" t="str">
        <x:v>Afrique</x:v>
      </x:c>
      <x:c r="E29" s="1">
        <x:v>20</x:v>
      </x:c>
      <x:c r="F29" s="1">
        <x:v>10.65887</x:v>
      </x:c>
      <x:c r="G29" s="2">
        <x:v>2948345</x:v>
      </x:c>
      <x:c r="H29" s="1">
        <x:v>29483450</x:v>
      </x:c>
      <x:c r="I29" s="4">
        <x:v>268584090.13547152</x:v>
      </x:c>
      <x:c r="J29" s="20">
        <x:f t="shared" si="0"/>
        <x:v>25.198176742513187</x:v>
      </x:c>
      <x:c r="K29" s="5">
        <x:v>25.198176742513187</x:v>
      </x:c>
      <x:c r="L29" s="9">
        <x:v>14.18</x:v>
      </x:c>
      <x:c r="M29"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29" s="1" t="s">
        <x:v>110</x:v>
      </x:c>
      <x:c r="O29" s="1">
        <x:v>273305684810</x:v>
      </x:c>
      <x:c r="P29" s="1">
        <x:v>12310.59584</x:v>
      </x:c>
      <x:c r="Q29" s="7">
        <x:v>22.200849444018463</x:v>
      </x:c>
      <x:c r="R29" s="5">
        <x:v>22.200849444018463</x:v>
      </x:c>
      <x:c r="S29" s="15">
        <x:v>19.654551191571777</x:v>
      </x:c>
      <x:c r="T29" s="1" t="s">
        <x:v>23</x:v>
      </x:c>
      <x:c r="U29" s="1" t="s">
        <x:v>110</x:v>
      </x:c>
      <x:c r="V29">
        <x:v>0.11</x:v>
      </x:c>
      <x:c r="W29" s="17" t="s">
        <x:v>110</x:v>
      </x:c>
      <x:c r="X29" s="17">
        <x:f t="shared" si="1"/>
        <x:v>10658870</x:v>
      </x:c>
      <x:c r="Y29" t="str">
        <x:f t="shared" si="2"/>
        <x:v>1 + 0.01 = 1.01</x:v>
      </x:c>
      <x:c r="Z29" t="str">
        <x:f t="shared" si="3"/>
        <x:v>1 + 25.20 = 26.20</x:v>
      </x:c>
      <x:c r="AC29" s="10"/>
    </x:row>
    <x:row r="30">
      <x:c r="A30" s="1" t="s">
        <x:v>111</x:v>
      </x:c>
      <x:c r="B30" s="1" t="s">
        <x:v>112</x:v>
      </x:c>
      <x:c r="C30" s="1" t="str">
        <x:v>Niger (Niger)</x:v>
      </x:c>
      <x:c r="D30" s="1" t="str">
        <x:v>Afrique</x:v>
      </x:c>
      <x:c r="E30" s="1">
        <x:v>40</x:v>
      </x:c>
      <x:c r="F30" s="1">
        <x:v>42.717129999999997</x:v>
      </x:c>
      <x:c r="G30" s="2">
        <x:v>16138934</x:v>
      </x:c>
      <x:c r="H30" s="1">
        <x:v>161389340</x:v>
      </x:c>
      <x:c r="I30" s="4">
        <x:v>1470201385.5727284</x:v>
      </x:c>
      <x:c r="J30" s="20">
        <x:f t="shared" si="0"/>
        <x:v>34.417138641400498</x:v>
      </x:c>
      <x:c r="K30" s="5">
        <x:v>34.417138641400498</x:v>
      </x:c>
      <x:c r="L30" s="9">
        <x:v>14.18</x:v>
      </x:c>
      <x:c r="M30"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30" s="1" t="s">
        <x:v>113</x:v>
      </x:c>
      <x:c r="O30" s="1">
        <x:v>1496046903932</x:v>
      </x:c>
      <x:c r="P30" s="1">
        <x:v>14915.00143</x:v>
      </x:c>
      <x:c r="Q30" s="7">
        <x:v>100.30484482038699</x:v>
      </x:c>
      <x:c r="R30" s="5">
        <x:v>100.30484482038699</x:v>
      </x:c>
      <x:c r="S30" s="15">
        <x:v>19.654551191571777</x:v>
      </x:c>
      <x:c r="T30" s="1" t="s">
        <x:v>23</x:v>
      </x:c>
      <x:c r="U30" s="1" t="s">
        <x:v>113</x:v>
      </x:c>
      <x:c r="V30">
        <x:v>1.1100000000000001</x:v>
      </x:c>
      <x:c r="W30" s="17" t="s">
        <x:v>113</x:v>
      </x:c>
      <x:c r="X30" s="17">
        <x:f t="shared" si="1"/>
        <x:v>42717130</x:v>
      </x:c>
      <x:c r="Y30" t="str">
        <x:f t="shared" si="2"/>
        <x:v>1 + 0.03 = 1.03</x:v>
      </x:c>
      <x:c r="Z30" t="str">
        <x:f t="shared" si="3"/>
        <x:v>1 + 34.42 = 35.42</x:v>
      </x:c>
      <x:c r="AC30" s="10"/>
    </x:row>
    <x:row r="31">
      <x:c r="A31" s="1" t="s">
        <x:v>114</x:v>
      </x:c>
      <x:c r="B31" s="1" t="s">
        <x:v>115</x:v>
      </x:c>
      <x:c r="C31" s="1" t="str">
        <x:v>Rwanda (Rwanda)</x:v>
      </x:c>
      <x:c r="D31" s="1" t="str">
        <x:v>Afrique</x:v>
      </x:c>
      <x:c r="E31" s="1">
        <x:v>20</x:v>
      </x:c>
      <x:c r="F31" s="1">
        <x:v>5.3434080000000002</x:v>
      </x:c>
      <x:c r="G31" s="2">
        <x:v>1333158</x:v>
      </x:c>
      <x:c r="H31" s="1">
        <x:v>13331580</x:v>
      </x:c>
      <x:c r="I31" s="4">
        <x:v>121446109.06689173</x:v>
      </x:c>
      <x:c r="J31" s="20">
        <x:f t="shared" si="0"/>
        <x:v>22.728211857842734</x:v>
      </x:c>
      <x:c r="K31" s="5">
        <x:v>22.728211857842734</x:v>
      </x:c>
      <x:c r="L31" s="9">
        <x:v>14.18</x:v>
      </x:c>
      <x:c r="M3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31" s="1" t="s">
        <x:v>116</x:v>
      </x:c>
      <x:c r="O31" s="1">
        <x:v>123581080284</x:v>
      </x:c>
      <x:c r="P31" s="1">
        <x:v>11070.356519999999</x:v>
      </x:c>
      <x:c r="Q31" s="7">
        <x:v>11.163243032031998</x:v>
      </x:c>
      <x:c r="R31" s="5">
        <x:v>11.163243032031998</x:v>
      </x:c>
      <x:c r="S31" s="15">
        <x:v>19.654551191571777</x:v>
      </x:c>
      <x:c r="T31" s="1" t="s">
        <x:v>23</x:v>
      </x:c>
      <x:c r="U31" s="1" t="s">
        <x:v>116</x:v>
      </x:c>
      <x:c r="V31">
        <x:v>-9.7200000000000006</x:v>
      </x:c>
      <x:c r="W31" s="17" t="s">
        <x:v>116</x:v>
      </x:c>
      <x:c r="X31" s="17">
        <x:f t="shared" si="1"/>
        <x:v>5343408</x:v>
      </x:c>
      <x:c r="Y31" t="str">
        <x:f t="shared" si="2"/>
        <x:v>1 + -1.82 = -0.82</x:v>
      </x:c>
      <x:c r="Z31" t="str">
        <x:f t="shared" si="3"/>
        <x:v>1 + 22.73 = 23.73</x:v>
      </x:c>
      <x:c r="AC31" s="10"/>
    </x:row>
    <x:row r="32">
      <x:c r="A32" s="1" t="s">
        <x:v>117</x:v>
      </x:c>
      <x:c r="B32" s="1" t="s">
        <x:v>118</x:v>
      </x:c>
      <x:c r="C32" s="1" t="str">
        <x:v>Sao Tome and Principe (Sao Tomé-et-Principe)</x:v>
      </x:c>
      <x:c r="D32" s="1" t="str">
        <x:v>Afrique</x:v>
      </x:c>
      <x:c r="E32" s="1">
        <x:v>20</x:v>
      </x:c>
      <x:c r="F32" s="1">
        <x:v>0.18226200000000001</x:v>
      </x:c>
      <x:c r="G32" s="2">
        <x:v>1388</x:v>
      </x:c>
      <x:c r="H32" s="1">
        <x:v>13880</x:v>
      </x:c>
      <x:c r="I32" s="4">
        <x:v>126442.02666514077</x:v>
      </x:c>
      <x:c r="J32" s="20">
        <x:f t="shared" si="0"/>
        <x:v>0.69373773285238161</x:v>
      </x:c>
      <x:c r="K32" s="5">
        <x:v>0.69373773285238161</x:v>
      </x:c>
      <x:c r="L32" s="9">
        <x:v>14.18</x:v>
      </x:c>
      <x:c r="M3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32" s="1" t="s">
        <x:v>119</x:v>
      </x:c>
      <x:c r="O32" s="1">
        <x:v>128664824</x:v>
      </x:c>
      <x:c r="P32" s="1">
        <x:v>526.65379069999994</x:v>
      </x:c>
      <x:c r="Q32" s="7">
        <x:v>0.24430627154318138</x:v>
      </x:c>
      <x:c r="R32" s="5">
        <x:v>0.24430627154318138</x:v>
      </x:c>
      <x:c r="S32" s="15">
        <x:v>19.654551191571777</x:v>
      </x:c>
      <x:c r="T32" s="1" t="s">
        <x:v>23</x:v>
      </x:c>
      <x:c r="U32" s="1" t="s">
        <x:v>119</x:v>
      </x:c>
      <x:c r="V32">
        <x:v>0.08</x:v>
      </x:c>
      <x:c r="W32" s="17" t="s">
        <x:v>120</x:v>
      </x:c>
      <x:c r="X32" s="17">
        <x:f t="shared" si="1"/>
        <x:v>182262</x:v>
      </x:c>
      <x:c r="Y32" t="str">
        <x:f t="shared" si="2"/>
        <x:v>1 + 0.44 = 1.44</x:v>
      </x:c>
      <x:c r="Z32" t="str">
        <x:f t="shared" si="3"/>
        <x:v>1 + 0.69 = 1.69</x:v>
      </x:c>
      <x:c r="AC32" s="10"/>
    </x:row>
    <x:row r="33">
      <x:c r="A33" s="1" t="s">
        <x:v>121</x:v>
      </x:c>
      <x:c r="B33" s="1" t="s">
        <x:v>122</x:v>
      </x:c>
      <x:c r="C33" s="1" t="str">
        <x:v>Senegal (Sénégal)</x:v>
      </x:c>
      <x:c r="D33" s="1" t="str">
        <x:v>Afrique</x:v>
      </x:c>
      <x:c r="E33" s="1">
        <x:v>20</x:v>
      </x:c>
      <x:c r="F33" s="1">
        <x:v>29.234739999999999</x:v>
      </x:c>
      <x:c r="G33" s="2">
        <x:v>3712799</x:v>
      </x:c>
      <x:c r="H33" s="1">
        <x:v>37127990</x:v>
      </x:c>
      <x:c r="I33" s="4">
        <x:v>137732074.57659075</x:v>
      </x:c>
      <x:c r="J33" s="20">
        <x:f t="shared" si="0"/>
        <x:v>4.7112467761502499</x:v>
      </x:c>
      <x:c r="K33" s="5">
        <x:v>4.7112467761502499</x:v>
      </x:c>
      <x:c r="L33" s="9">
        <x:v>14.18</x:v>
      </x:c>
      <x:c r="M33"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33" s="1" t="s">
        <x:v>123</x:v>
      </x:c>
      <x:c r="O33" s="1">
        <x:v>344169041702</x:v>
      </x:c>
      <x:c r="P33" s="1">
        <x:v>27625.388350000001</x:v>
      </x:c>
      <x:c r="Q33" s="7">
        <x:v>12.458432704784039</x:v>
      </x:c>
      <x:c r="R33" s="5">
        <x:v>12.458432704784039</x:v>
      </x:c>
      <x:c r="S33" s="15">
        <x:v>19.654551191571777</x:v>
      </x:c>
      <x:c r="T33" s="1" t="s">
        <x:v>23</x:v>
      </x:c>
      <x:c r="U33" s="1" t="s">
        <x:v>123</x:v>
      </x:c>
      <x:c r="V33">
        <x:v>1.84</x:v>
      </x:c>
      <x:c r="W33" s="17" t="s">
        <x:v>123</x:v>
      </x:c>
      <x:c r="X33" s="17">
        <x:f t="shared" si="1"/>
        <x:v>29234740</x:v>
      </x:c>
      <x:c r="Y33" t="str">
        <x:f t="shared" si="2"/>
        <x:v>1 + 0.06 = 1.06</x:v>
      </x:c>
      <x:c r="Z33" t="str">
        <x:f t="shared" si="3"/>
        <x:v>1 + 4.71 = 5.71</x:v>
      </x:c>
    </x:row>
    <x:row r="34">
      <x:c r="A34" s="1" t="s">
        <x:v>124</x:v>
      </x:c>
      <x:c r="B34" s="1" t="s">
        <x:v>125</x:v>
      </x:c>
      <x:c r="C34" s="1" t="str">
        <x:v>Seychelles (Seychelles)</x:v>
      </x:c>
      <x:c r="D34" s="1" t="str">
        <x:v>Afrique</x:v>
      </x:c>
      <x:c r="E34" s="1">
        <x:v>20</x:v>
      </x:c>
      <x:c r="F34" s="1">
        <x:v>0.776389</x:v>
      </x:c>
      <x:c r="G34" s="2">
        <x:v>282</x:v>
      </x:c>
      <x:c r="H34" s="1">
        <x:v>2820</x:v>
      </x:c>
      <x:c r="I34" s="4">
        <x:v>18075.23020141909</x:v>
      </x:c>
      <x:c r="J34" s="20">
        <x:f t="shared" si="0"/>
        <x:v>2.3281151847101247E-2</x:v>
      </x:c>
      <x:c r="K34" s="5">
        <x:v>2.3281151847101247E-2</x:v>
      </x:c>
      <x:c r="L34" s="9">
        <x:v>14.18</x:v>
      </x:c>
      <x:c r="M34"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34" s="1" t="s">
        <x:v>126</x:v>
      </x:c>
      <x:c r="O34" s="1">
        <x:v>26140836</x:v>
      </x:c>
      <x:c r="P34" s="1">
        <x:v>1454.4581840000001</x:v>
      </x:c>
      <x:c r="Q34" s="7">
        <x:v>1.7972903097226479E-2</x:v>
      </x:c>
      <x:c r="R34" s="5">
        <x:v>1.7972903097226479E-2</x:v>
      </x:c>
      <x:c r="S34" s="15">
        <x:v>19.654551191571777</x:v>
      </x:c>
      <x:c r="T34" s="1" t="s">
        <x:v>23</x:v>
      </x:c>
      <x:c r="U34" s="1" t="s">
        <x:v>126</x:v>
      </x:c>
      <x:c r="V34">
        <x:v>-0.03</x:v>
      </x:c>
      <x:c r="W34" s="17" t="s">
        <x:v>126</x:v>
      </x:c>
      <x:c r="X34" s="17">
        <x:f t="shared" si="1"/>
        <x:v>776389</x:v>
      </x:c>
      <x:c r="Y34" t="str">
        <x:f t="shared" si="2"/>
        <x:v>1 + -0.04 = 0.96</x:v>
      </x:c>
      <x:c r="Z34" t="str">
        <x:f t="shared" si="3"/>
        <x:v>1 + 0.02 = 1.02</x:v>
      </x:c>
    </x:row>
    <x:row r="35">
      <x:c r="A35" s="1" t="s">
        <x:v>127</x:v>
      </x:c>
      <x:c r="B35" s="1" t="s">
        <x:v>128</x:v>
      </x:c>
      <x:c r="C35" s="1" t="str">
        <x:v>Sierra Leone (Sierra Leone)</x:v>
      </x:c>
      <x:c r="D35" s="1" t="str">
        <x:v>Afrique</x:v>
      </x:c>
      <x:c r="E35" s="1">
        <x:v>20</x:v>
      </x:c>
      <x:c r="F35" s="1">
        <x:v>6.0755319999999999</x:v>
      </x:c>
      <x:c r="G35" s="2">
        <x:v>598442</x:v>
      </x:c>
      <x:c r="H35" s="1">
        <x:v>5984420</x:v>
      </x:c>
      <x:c r="I35" s="4">
        <x:v>38358074.156729236</x:v>
      </x:c>
      <x:c r="J35" s="20">
        <x:f t="shared" si="0"/>
        <x:v>6.3135333920929453</x:v>
      </x:c>
      <x:c r="K35" s="5">
        <x:v>6.3135333920929453</x:v>
      </x:c>
      <x:c r="L35" s="9">
        <x:v>14.18</x:v>
      </x:c>
      <x:c r="M35"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35" s="1" t="s">
        <x:v>129</x:v>
      </x:c>
      <x:c r="O35" s="1">
        <x:v>55474376516</x:v>
      </x:c>
      <x:c r="P35" s="1">
        <x:v>4042.2378640000002</x:v>
      </x:c>
      <x:c r="Q35" s="7">
        <x:v>13.723679402949653</x:v>
      </x:c>
      <x:c r="R35" s="5">
        <x:v>13.723679402949653</x:v>
      </x:c>
      <x:c r="S35" s="15">
        <x:v>19.654551191571777</x:v>
      </x:c>
      <x:c r="T35" s="1" t="s">
        <x:v>23</x:v>
      </x:c>
      <x:c r="U35" s="1" t="s">
        <x:v>129</x:v>
      </x:c>
      <x:c r="V35">
        <x:v>3.36</x:v>
      </x:c>
      <x:c r="W35" s="17" t="s">
        <x:v>129</x:v>
      </x:c>
      <x:c r="X35" s="17">
        <x:f t="shared" si="1"/>
        <x:v>6075532</x:v>
      </x:c>
      <x:c r="Y35" t="str">
        <x:f t="shared" si="2"/>
        <x:v>1 + 0.55 = 1.55</x:v>
      </x:c>
      <x:c r="Z35" t="str">
        <x:f t="shared" si="3"/>
        <x:v>1 + 6.31 = 7.31</x:v>
      </x:c>
      <x:c r="AB35" s="10"/>
    </x:row>
    <x:row r="36">
      <x:c r="A36" s="1" t="s">
        <x:v>130</x:v>
      </x:c>
      <x:c r="B36" s="1" t="s">
        <x:v>131</x:v>
      </x:c>
      <x:c r="C36" s="1" t="str">
        <x:v>Somalia (Somalie)</x:v>
      </x:c>
      <x:c r="D36" s="1" t="str">
        <x:v>Afrique</x:v>
      </x:c>
      <x:c r="E36" s="1">
        <x:v>30</x:v>
      </x:c>
      <x:c r="F36" s="1">
        <x:v>25.154699999999998</x:v>
      </x:c>
      <x:c r="G36" s="2">
        <x:v>4826203</x:v>
      </x:c>
      <x:c r="H36" s="1">
        <x:v>48262030</x:v>
      </x:c>
      <x:c r="I36" s="4">
        <x:v>309343014.97794122</x:v>
      </x:c>
      <x:c r="J36" s="20">
        <x:f t="shared" si="0"/>
        <x:v>12.297622908559482</x:v>
      </x:c>
      <x:c r="K36" s="5">
        <x:v>12.297622908559482</x:v>
      </x:c>
      <x:c r="L36" s="9">
        <x:v>14.18</x:v>
      </x:c>
      <x:c r="M36"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36" s="1" t="s">
        <x:v>132</x:v>
      </x:c>
      <x:c r="O36" s="1">
        <x:v>447379365694</x:v>
      </x:c>
      <x:c r="P36" s="1">
        <x:v>7628.0000110000001</x:v>
      </x:c>
      <x:c r="Q36" s="7">
        <x:v>58.649628349351609</x:v>
      </x:c>
      <x:c r="R36" s="5">
        <x:v>58.649628349351609</x:v>
      </x:c>
      <x:c r="S36" s="15">
        <x:v>19.654551191571777</x:v>
      </x:c>
      <x:c r="T36" s="1" t="s">
        <x:v>23</x:v>
      </x:c>
      <x:c r="U36" s="1" t="s">
        <x:v>132</x:v>
      </x:c>
      <x:c r="V36">
        <x:v>182.54</x:v>
      </x:c>
      <x:c r="W36" s="17" t="s">
        <x:v>132</x:v>
      </x:c>
      <x:c r="X36" s="17">
        <x:f t="shared" si="1"/>
        <x:v>25154700</x:v>
      </x:c>
      <x:c r="Y36" t="str">
        <x:f t="shared" si="2"/>
        <x:v>1 + 7.26 = 8.26</x:v>
      </x:c>
      <x:c r="Z36" t="str">
        <x:f t="shared" si="3"/>
        <x:v>1 + 12.30 = 13.30</x:v>
      </x:c>
      <x:c r="AB36" s="10"/>
    </x:row>
    <x:row r="37">
      <x:c r="A37" s="1" t="s">
        <x:v>133</x:v>
      </x:c>
      <x:c r="B37" s="1" t="s">
        <x:v>134</x:v>
      </x:c>
      <x:c r="C37" s="1" t="str">
        <x:v>South Sudan (Soudan du Sud)</x:v>
      </x:c>
      <x:c r="D37" s="1" t="str">
        <x:v>Afrique</x:v>
      </x:c>
      <x:c r="E37" s="1">
        <x:v>20</x:v>
      </x:c>
      <x:c r="F37" s="1">
        <x:v>50.910609999999998</x:v>
      </x:c>
      <x:c r="G37" s="2">
        <x:v>13784065</x:v>
      </x:c>
      <x:c r="H37" s="1">
        <x:v>137840650</x:v>
      </x:c>
      <x:c r="I37" s="4">
        <x:v>883511163.07207024</x:v>
      </x:c>
      <x:c r="J37" s="20">
        <x:f t="shared" si="0"/>
        <x:v>17.354165724434854</x:v>
      </x:c>
      <x:c r="K37" s="5">
        <x:v>17.354165724434854</x:v>
      </x:c>
      <x:c r="L37" s="9">
        <x:v>14.18</x:v>
      </x:c>
      <x:c r="M37"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37" s="1" t="s">
        <x:v>135</x:v>
      </x:c>
      <x:c r="O37" s="1">
        <x:v>1277755257370</x:v>
      </x:c>
      <x:c r="P37" s="1">
        <x:v>12000</x:v>
      </x:c>
      <x:c r="Q37" s="7">
        <x:v>106.47960478083333</x:v>
      </x:c>
      <x:c r="R37" s="5">
        <x:v>106.47960478083333</x:v>
      </x:c>
      <x:c r="S37" s="15">
        <x:v>19.654551191571777</x:v>
      </x:c>
      <x:c r="T37" s="1" t="s">
        <x:v>23</x:v>
      </x:c>
      <x:c r="U37" s="1" t="s">
        <x:v>135</x:v>
      </x:c>
      <x:c r="V37">
        <x:v>10.46</x:v>
      </x:c>
      <x:c r="W37" s="17" t="s">
        <x:v>135</x:v>
      </x:c>
      <x:c r="X37" s="17">
        <x:f t="shared" si="1"/>
        <x:v>50910610</x:v>
      </x:c>
      <x:c r="Y37" t="str">
        <x:f t="shared" si="2"/>
        <x:v>1 + 0.21 = 1.21</x:v>
      </x:c>
      <x:c r="Z37" t="str">
        <x:f t="shared" si="3"/>
        <x:v>1 + 17.35 = 18.35</x:v>
      </x:c>
      <x:c r="AB37" s="10"/>
    </x:row>
    <x:row r="38">
      <x:c r="A38" s="1" t="s">
        <x:v>136</x:v>
      </x:c>
      <x:c r="B38" s="1" t="s">
        <x:v>137</x:v>
      </x:c>
      <x:c r="C38" s="1" t="str">
        <x:v>Sudan (Soudan)</x:v>
      </x:c>
      <x:c r="D38" s="1" t="str">
        <x:v>Afrique</x:v>
      </x:c>
      <x:c r="E38" s="1">
        <x:v>20</x:v>
      </x:c>
      <x:c r="F38" s="1">
        <x:v>106.0617</x:v>
      </x:c>
      <x:c r="G38" s="2">
        <x:v>31757266</x:v>
      </x:c>
      <x:c r="H38" s="1">
        <x:v>317572660</x:v>
      </x:c>
      <x:c r="I38" s="4">
        <x:v>2892977719.2968068</x:v>
      </x:c>
      <x:c r="J38" s="20">
        <x:f t="shared" si="0"/>
        <x:v>27.276365731426207</x:v>
      </x:c>
      <x:c r="K38" s="5">
        <x:v>27.276365731426207</x:v>
      </x:c>
      <x:c r="L38" s="9">
        <x:v>14.18</x:v>
      </x:c>
      <x:c r="M38"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38" s="1" t="s">
        <x:v>138</x:v>
      </x:c>
      <x:c r="O38" s="1">
        <x:v>2943835043668</x:v>
      </x:c>
      <x:c r="P38" s="1">
        <x:v>34326.058559999998</x:v>
      </x:c>
      <x:c r="Q38" s="7">
        <x:v>85.760939856300254</x:v>
      </x:c>
      <x:c r="R38" s="5">
        <x:v>85.760939856300254</x:v>
      </x:c>
      <x:c r="S38" s="15">
        <x:v>19.654551191571777</x:v>
      </x:c>
      <x:c r="T38" s="1" t="s">
        <x:v>23</x:v>
      </x:c>
      <x:c r="U38" s="1" t="s">
        <x:v>138</x:v>
      </x:c>
      <x:c r="V38">
        <x:v>-45.72</x:v>
      </x:c>
      <x:c r="W38" s="17" t="s">
        <x:v>138</x:v>
      </x:c>
      <x:c r="X38" s="17">
        <x:f t="shared" si="1"/>
        <x:v>106061700</x:v>
      </x:c>
      <x:c r="Y38" t="str">
        <x:f t="shared" si="2"/>
        <x:v>1 + -0.43 = 0.57</x:v>
      </x:c>
      <x:c r="Z38" t="str">
        <x:f t="shared" si="3"/>
        <x:v>1 + 27.28 = 28.28</x:v>
      </x:c>
      <x:c r="AB38" s="10"/>
    </x:row>
    <x:row r="39">
      <x:c r="A39" s="1" t="s">
        <x:v>139</x:v>
      </x:c>
      <x:c r="B39" s="1" t="s">
        <x:v>140</x:v>
      </x:c>
      <x:c r="C39" s="1" t="str">
        <x:v>Tanzania (Tanzanie)</x:v>
      </x:c>
      <x:c r="D39" s="1" t="str">
        <x:v>Afrique</x:v>
      </x:c>
      <x:c r="E39" s="1">
        <x:v>30</x:v>
      </x:c>
      <x:c r="F39" s="1">
        <x:v>83.9983</x:v>
      </x:c>
      <x:c r="G39" s="2">
        <x:v>28335049</x:v>
      </x:c>
      <x:c r="H39" s="1">
        <x:v>283350490</x:v>
      </x:c>
      <x:c r="I39" s="4">
        <x:v>3346271842.6081195</x:v>
      </x:c>
      <x:c r="J39" s="20">
        <x:f t="shared" si="0"/>
        <x:v>39.837375787463785</x:v>
      </x:c>
      <x:c r="K39" s="5">
        <x:v>39.837375787463785</x:v>
      </x:c>
      <x:c r="L39" s="9">
        <x:v>14.18</x:v>
      </x:c>
      <x:c r="M39"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39" s="1" t="s">
        <x:v>141</x:v>
      </x:c>
      <x:c r="O39" s="1">
        <x:v>2626602372202</x:v>
      </x:c>
      <x:c r="P39" s="1">
        <x:v>67841.049190000005</x:v>
      </x:c>
      <x:c r="Q39" s="7">
        <x:v>38.71700693846536</x:v>
      </x:c>
      <x:c r="R39" s="5">
        <x:v>38.71700693846536</x:v>
      </x:c>
      <x:c r="S39" s="15">
        <x:v>19.654551191571777</x:v>
      </x:c>
      <x:c r="T39" s="1" t="s">
        <x:v>23</x:v>
      </x:c>
      <x:c r="U39" s="1" t="s">
        <x:v>141</x:v>
      </x:c>
      <x:c r="V39">
        <x:v>70.930000000000007</x:v>
      </x:c>
      <x:c r="W39" s="17" t="s">
        <x:v>141</x:v>
      </x:c>
      <x:c r="X39" s="17">
        <x:f t="shared" si="1"/>
        <x:v>83998300</x:v>
      </x:c>
      <x:c r="Y39" t="str">
        <x:f t="shared" si="2"/>
        <x:v>1 + 0.84 = 1.84</x:v>
      </x:c>
      <x:c r="Z39" t="str">
        <x:f t="shared" si="3"/>
        <x:v>1 + 39.84 = 40.84</x:v>
      </x:c>
      <x:c r="AB39" s="10"/>
    </x:row>
    <x:row r="40">
      <x:c r="A40" s="1" t="s">
        <x:v>142</x:v>
      </x:c>
      <x:c r="B40" s="1" t="s">
        <x:v>143</x:v>
      </x:c>
      <x:c r="C40" s="1" t="str">
        <x:v>Togo (Togo)</x:v>
      </x:c>
      <x:c r="D40" s="1" t="str">
        <x:v>Afrique</x:v>
      </x:c>
      <x:c r="E40" s="1">
        <x:v>30</x:v>
      </x:c>
      <x:c r="F40" s="1">
        <x:v>7.8863519999999996</x:v>
      </x:c>
      <x:c r="G40" s="2">
        <x:v>469257</x:v>
      </x:c>
      <x:c r="H40" s="1">
        <x:v>4692570</x:v>
      </x:c>
      <x:c r="I40" s="4">
        <x:v>42747698.924210347</x:v>
      </x:c>
      <x:c r="J40" s="20">
        <x:f t="shared" si="0"/>
        <x:v>5.4204654983965144</x:v>
      </x:c>
      <x:c r="K40" s="5">
        <x:v>5.4204654983965144</x:v>
      </x:c>
      <x:c r="L40" s="9">
        <x:v>14.18</x:v>
      </x:c>
      <x:c r="M40"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40" s="1" t="s">
        <x:v>144</x:v>
      </x:c>
      <x:c r="O40" s="1">
        <x:v>43499185386</x:v>
      </x:c>
      <x:c r="P40" s="1">
        <x:v>8413.2005680000002</x:v>
      </x:c>
      <x:c r="Q40" s="7">
        <x:v>5.1703492665384889</x:v>
      </x:c>
      <x:c r="R40" s="5">
        <x:v>5.1703492665384889</x:v>
      </x:c>
      <x:c r="S40" s="15">
        <x:v>19.654551191571777</x:v>
      </x:c>
      <x:c r="T40" s="1" t="s">
        <x:v>23</x:v>
      </x:c>
      <x:c r="U40" s="1" t="s">
        <x:v>144</x:v>
      </x:c>
      <x:c r="V40">
        <x:v>0.44</x:v>
      </x:c>
      <x:c r="W40" s="17" t="s">
        <x:v>144</x:v>
      </x:c>
      <x:c r="X40" s="17">
        <x:f t="shared" si="1"/>
        <x:v>7886352</x:v>
      </x:c>
      <x:c r="Y40" t="str">
        <x:f t="shared" si="2"/>
        <x:v>1 + 0.06 = 1.06</x:v>
      </x:c>
      <x:c r="Z40" t="str">
        <x:f t="shared" si="3"/>
        <x:v>1 + 5.42 = 6.42</x:v>
      </x:c>
      <x:c r="AB40" s="10"/>
    </x:row>
    <x:row r="41">
      <x:c r="A41" s="1" t="s">
        <x:v>145</x:v>
      </x:c>
      <x:c r="B41" s="1" t="s">
        <x:v>146</x:v>
      </x:c>
      <x:c r="C41" s="1" t="str">
        <x:v>Tunisia (Tunisie)</x:v>
      </x:c>
      <x:c r="D41" s="1" t="str">
        <x:v>Afrique</x:v>
      </x:c>
      <x:c r="E41" s="1">
        <x:v>20</x:v>
      </x:c>
      <x:c r="F41" s="1">
        <x:v>41.592959999999998</x:v>
      </x:c>
      <x:c r="G41" s="2">
        <x:v>613039</x:v>
      </x:c>
      <x:c r="H41" s="1">
        <x:v>6130390</x:v>
      </x:c>
      <x:c r="I41" s="4">
        <x:v>39293691.657616168</x:v>
      </x:c>
      <x:c r="J41" s="20">
        <x:f t="shared" si="0"/>
        <x:v>0.94471977126937268</x:v>
      </x:c>
      <x:c r="K41" s="5">
        <x:v>0.94471977126937268</x:v>
      </x:c>
      <x:c r="L41" s="9">
        <x:v>14.18</x:v>
      </x:c>
      <x:c r="M4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41" s="1" t="s">
        <x:v>147</x:v>
      </x:c>
      <x:c r="O41" s="1">
        <x:v>56827489222</x:v>
      </x:c>
      <x:c r="P41" s="1">
        <x:v>46686.74181</x:v>
      </x:c>
      <x:c r="Q41" s="7">
        <x:v>1.2172082912375761</x:v>
      </x:c>
      <x:c r="R41" s="5">
        <x:v>1.2172082912375761</x:v>
      </x:c>
      <x:c r="S41" s="15">
        <x:v>19.654551191571777</x:v>
      </x:c>
      <x:c r="T41" s="1" t="s">
        <x:v>23</x:v>
      </x:c>
      <x:c r="U41" s="1" t="s">
        <x:v>147</x:v>
      </x:c>
      <x:c r="V41">
        <x:v>-0.4</x:v>
      </x:c>
      <x:c r="W41" s="17" t="s">
        <x:v>147</x:v>
      </x:c>
      <x:c r="X41" s="17">
        <x:f t="shared" si="1"/>
        <x:v>41592960</x:v>
      </x:c>
      <x:c r="Y41" t="str">
        <x:f t="shared" si="2"/>
        <x:v>1 + -0.01 = 0.99</x:v>
      </x:c>
      <x:c r="Z41" t="str">
        <x:f t="shared" si="3"/>
        <x:v>1 + 0.94 = 1.94</x:v>
      </x:c>
      <x:c r="AB41" s="10"/>
    </x:row>
    <x:row r="42">
      <x:c r="A42" s="1" t="s">
        <x:v>148</x:v>
      </x:c>
      <x:c r="B42" s="1" t="s">
        <x:v>149</x:v>
      </x:c>
      <x:c r="C42" s="1" t="str">
        <x:v>Uganda (Ouganda)</x:v>
      </x:c>
      <x:c r="D42" s="1" t="str">
        <x:v>Afrique</x:v>
      </x:c>
      <x:c r="E42" s="1">
        <x:v>20</x:v>
      </x:c>
      <x:c r="F42" s="1">
        <x:v>43.293999999999997</x:v>
      </x:c>
      <x:c r="G42" s="2">
        <x:v>15541335</x:v>
      </x:c>
      <x:c r="H42" s="1">
        <x:v>155413350</x:v>
      </x:c>
      <x:c r="I42" s="4">
        <x:v>576530081.81692028</x:v>
      </x:c>
      <x:c r="J42" s="20">
        <x:f t="shared" si="0"/>
        <x:v>13.31662775019449</x:v>
      </x:c>
      <x:c r="K42" s="5">
        <x:v>13.31662775019449</x:v>
      </x:c>
      <x:c r="L42" s="9">
        <x:v>14.18</x:v>
      </x:c>
      <x:c r="M4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42" s="1" t="s">
        <x:v>150</x:v>
      </x:c>
      <x:c r="O42" s="1">
        <x:v>1440650671830</x:v>
      </x:c>
      <x:c r="P42" s="1">
        <x:v>40529.78903</x:v>
      </x:c>
      <x:c r="Q42" s="7">
        <x:v>35.545476705137439</x:v>
      </x:c>
      <x:c r="R42" s="5">
        <x:v>35.545476705137439</x:v>
      </x:c>
      <x:c r="S42" s="15">
        <x:v>19.654551191571777</x:v>
      </x:c>
      <x:c r="T42" s="1" t="s">
        <x:v>23</x:v>
      </x:c>
      <x:c r="U42" s="1" t="s">
        <x:v>150</x:v>
      </x:c>
      <x:c r="V42">
        <x:v>37.51</x:v>
      </x:c>
      <x:c r="W42" s="17" t="s">
        <x:v>150</x:v>
      </x:c>
      <x:c r="X42" s="17">
        <x:f t="shared" si="1"/>
        <x:v>43294000</x:v>
      </x:c>
      <x:c r="Y42" t="str">
        <x:f t="shared" si="2"/>
        <x:v>1 + 0.87 = 1.87</x:v>
      </x:c>
      <x:c r="Z42" t="str">
        <x:f t="shared" si="3"/>
        <x:v>1 + 13.32 = 14.32</x:v>
      </x:c>
      <x:c r="AB42" s="10"/>
    </x:row>
    <x:row r="43">
      <x:c r="A43" s="1" t="s">
        <x:v>151</x:v>
      </x:c>
      <x:c r="B43" s="1" t="s">
        <x:v>152</x:v>
      </x:c>
      <x:c r="C43" s="1" t="str">
        <x:v>Zambia (Zambie)</x:v>
      </x:c>
      <x:c r="D43" s="1" t="str">
        <x:v>Afrique</x:v>
      </x:c>
      <x:c r="E43" s="1">
        <x:v>20</x:v>
      </x:c>
      <x:c r="F43" s="1">
        <x:v>37.570790000000002</x:v>
      </x:c>
      <x:c r="G43" s="2">
        <x:v>3740472</x:v>
      </x:c>
      <x:c r="H43" s="1">
        <x:v>37404720</x:v>
      </x:c>
      <x:c r="I43" s="4">
        <x:v>239751391.70908675</x:v>
      </x:c>
      <x:c r="J43" s="20">
        <x:f t="shared" si="0"/>
        <x:v>6.3813242071589853</x:v>
      </x:c>
      <x:c r="K43" s="5">
        <x:v>6.3813242071589853</x:v>
      </x:c>
      <x:c r="L43" s="9">
        <x:v>14.18</x:v>
      </x:c>
      <x:c r="M43"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43" s="1" t="s">
        <x:v>153</x:v>
      </x:c>
      <x:c r="O43" s="1">
        <x:v>346734273456</x:v>
      </x:c>
      <x:c r="P43" s="1">
        <x:v>22147.634730000002</x:v>
      </x:c>
      <x:c r="Q43" s="7">
        <x:v>15.655589307075411</x:v>
      </x:c>
      <x:c r="R43" s="5">
        <x:v>15.655589307075411</x:v>
      </x:c>
      <x:c r="S43" s="15">
        <x:v>19.654551191571777</x:v>
      </x:c>
      <x:c r="T43" s="1" t="s">
        <x:v>23</x:v>
      </x:c>
      <x:c r="U43" s="1" t="s">
        <x:v>153</x:v>
      </x:c>
      <x:c r="V43">
        <x:v>48.02</x:v>
      </x:c>
      <x:c r="W43" s="17" t="s">
        <x:v>153</x:v>
      </x:c>
      <x:c r="X43" s="17">
        <x:f t="shared" si="1"/>
        <x:v>37570790</x:v>
      </x:c>
      <x:c r="Y43" t="str">
        <x:f t="shared" si="2"/>
        <x:v>1 + 1.28 = 2.28</x:v>
      </x:c>
      <x:c r="Z43" t="str">
        <x:f t="shared" si="3"/>
        <x:v>1 + 6.38 = 7.38</x:v>
      </x:c>
      <x:c r="AB43" s="10"/>
    </x:row>
    <x:row r="44">
      <x:c r="A44" s="1" t="s">
        <x:v>154</x:v>
      </x:c>
      <x:c r="B44" s="1" t="s">
        <x:v>155</x:v>
      </x:c>
      <x:c r="C44" s="1" t="str">
        <x:v>Zimbabwe (Zimbabwe)</x:v>
      </x:c>
      <x:c r="D44" s="1" t="str">
        <x:v>Afrique</x:v>
      </x:c>
      <x:c r="E44" s="1">
        <x:v>20</x:v>
      </x:c>
      <x:c r="F44" s="1">
        <x:v>30.52739</x:v>
      </x:c>
      <x:c r="G44" s="2">
        <x:v>5513379</x:v>
      </x:c>
      <x:c r="H44" s="1">
        <x:v>55133790</x:v>
      </x:c>
      <x:c r="I44" s="4">
        <x:v>55666167.378261618</x:v>
      </x:c>
      <x:c r="J44" s="20">
        <x:f t="shared" si="0"/>
        <x:v>1.8234826946640907</x:v>
      </x:c>
      <x:c r="K44" s="5">
        <x:v>1.8234826946640907</x:v>
      </x:c>
      <x:c r="L44" s="9">
        <x:v>14.18</x:v>
      </x:c>
      <x:c r="M44"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44" s="1" t="s">
        <x:v>156</x:v>
      </x:c>
      <x:c r="O44" s="1">
        <x:v>511079206542</x:v>
      </x:c>
      <x:c r="P44" s="1">
        <x:v>28371.238669999999</x:v>
      </x:c>
      <x:c r="Q44" s="7">
        <x:v>18.013989889078044</x:v>
      </x:c>
      <x:c r="R44" s="5">
        <x:v>18.013989889078044</x:v>
      </x:c>
      <x:c r="S44" s="15">
        <x:v>19.654551191571777</x:v>
      </x:c>
      <x:c r="T44" s="1" t="s">
        <x:v>23</x:v>
      </x:c>
      <x:c r="U44" s="1" t="s">
        <x:v>156</x:v>
      </x:c>
      <x:c r="V44">
        <x:v>18.149999999999999</x:v>
      </x:c>
      <x:c r="W44" s="17" t="s">
        <x:v>156</x:v>
      </x:c>
      <x:c r="X44" s="17">
        <x:f t="shared" si="1"/>
        <x:v>30527390</x:v>
      </x:c>
      <x:c r="Y44" t="str">
        <x:f t="shared" si="2"/>
        <x:v>1 + 0.59 = 1.59</x:v>
      </x:c>
      <x:c r="Z44" t="str">
        <x:f t="shared" si="3"/>
        <x:v>1 + 1.82 = 2.82</x:v>
      </x:c>
    </x:row>
    <x:row r="45" s="4" customFormat="1">
      <x:c r="A45" s="4" t="s">
        <x:v>157</x:v>
      </x:c>
      <x:c r="B45" s="4" t="s">
        <x:v>158</x:v>
      </x:c>
      <x:c r="C45" s="4" t="str">
        <x:v>Afghanistan (Afghanistan)</x:v>
      </x:c>
      <x:c r="D45" s="4" t="str">
        <x:v>Asie</x:v>
      </x:c>
      <x:c r="E45" s="4">
        <x:v>30</x:v>
      </x:c>
      <x:c r="F45" s="4">
        <x:v>28.636500000000002</x:v>
      </x:c>
      <x:c r="G45" s="4">
        <x:v>5085807</x:v>
      </x:c>
      <x:c r="H45" s="4">
        <x:v>50858070</x:v>
      </x:c>
      <x:c r="I45" s="4">
        <x:v>325982738.59925038</x:v>
      </x:c>
      <x:c r="J45" s="20">
        <x:f t="shared" si="0"/>
        <x:v>11.383469998053197</x:v>
      </x:c>
      <x:c r="K45" s="11">
        <x:v>11.383469998053197</x:v>
      </x:c>
      <x:c r="L45" s="10">
        <x:v>3.1803137808135946</x:v>
      </x:c>
      <x:c r="M45"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45" s="4" t="s">
        <x:v>159</x:v>
      </x:c>
      <x:c r="O45" s="4">
        <x:v>471444137286</x:v>
      </x:c>
      <x:c r="P45" s="4">
        <x:v>14786.861639999999</x:v>
      </x:c>
      <x:c r="Q45" s="4">
        <x:v>31.882636678677951</x:v>
      </x:c>
      <x:c r="R45" s="11">
        <x:v>31.882636678677951</x:v>
      </x:c>
      <x:c r="S45" s="15">
        <x:v>0.56168769753907744</x:v>
      </x:c>
      <x:c r="T45" s="4" t="s">
        <x:v>160</x:v>
      </x:c>
      <x:c r="U45" s="4" t="s">
        <x:v>159</x:v>
      </x:c>
      <x:c r="V45">
        <x:v>0</x:v>
      </x:c>
      <x:c r="W45" s="17" t="s">
        <x:v>159</x:v>
      </x:c>
      <x:c r="X45" s="17">
        <x:f t="shared" si="1"/>
        <x:v>28636500</x:v>
      </x:c>
      <x:c r="Y45" t="str">
        <x:f t="shared" si="2"/>
        <x:v>1 + 0.00 = 1.00</x:v>
      </x:c>
      <x:c r="Z45" t="str">
        <x:f t="shared" si="3"/>
        <x:v>1 + 11.38 = 12.38</x:v>
      </x:c>
      <x:c r="AA45" s="1"/>
      <x:c r="AB45" s="1"/>
      <x:c r="AC45" s="1"/>
      <x:c r="AD45" s="1"/>
      <x:c r="AE45" s="1"/>
    </x:row>
    <x:row r="46">
      <x:c r="A46" s="1" t="s">
        <x:v>161</x:v>
      </x:c>
      <x:c r="B46" s="1" t="s">
        <x:v>162</x:v>
      </x:c>
      <x:c r="C46" s="1" t="str">
        <x:v>Armenia (Arménie)</x:v>
      </x:c>
      <x:c r="D46" s="1" t="str">
        <x:v>Asie</x:v>
      </x:c>
      <x:c r="E46" s="1">
        <x:v>20</x:v>
      </x:c>
      <x:c r="F46" s="1">
        <x:v>9.9632419999999993</x:v>
      </x:c>
      <x:c r="G46" s="2">
        <x:v>579256</x:v>
      </x:c>
      <x:c r="H46" s="1">
        <x:v>5792560</x:v>
      </x:c>
      <x:c r="I46" s="4">
        <x:v>37128317.537422754</x:v>
      </x:c>
      <x:c r="J46" s="20">
        <x:f t="shared" si="0"/>
        <x:v>3.7265297317301691</x:v>
      </x:c>
      <x:c r="K46" s="5">
        <x:v>3.7265297317301691</x:v>
      </x:c>
      <x:c r="L46" s="10">
        <x:v>3.1803137808135946</x:v>
      </x:c>
      <x:c r="M46"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46" s="1" t="s">
        <x:v>163</x:v>
      </x:c>
      <x:c r="O46" s="1">
        <x:v>53695872688</x:v>
      </x:c>
      <x:c r="P46" s="1">
        <x:v>13861.409970000001</x:v>
      </x:c>
      <x:c r="Q46" s="7">
        <x:v>3.873767012462153</x:v>
      </x:c>
      <x:c r="R46" s="5">
        <x:v>3.873767012462153</x:v>
      </x:c>
      <x:c r="S46" s="15">
        <x:v>0.56168769753907744</x:v>
      </x:c>
      <x:c r="T46" s="1" t="s">
        <x:v>160</x:v>
      </x:c>
      <x:c r="U46" s="1" t="s">
        <x:v>163</x:v>
      </x:c>
      <x:c r="V46">
        <x:v>-1.25</x:v>
      </x:c>
      <x:c r="W46" s="17" t="s">
        <x:v>163</x:v>
      </x:c>
      <x:c r="X46" s="17">
        <x:f t="shared" si="1"/>
        <x:v>9963242</x:v>
      </x:c>
      <x:c r="Y46" t="str">
        <x:f t="shared" si="2"/>
        <x:v>1 + -0.13 = 0.87</x:v>
      </x:c>
      <x:c r="Z46" t="str">
        <x:f t="shared" si="3"/>
        <x:v>1 + 3.73 = 4.73</x:v>
      </x:c>
    </x:row>
    <x:row r="47">
      <x:c r="A47" s="1" t="s">
        <x:v>164</x:v>
      </x:c>
      <x:c r="B47" s="1" t="s">
        <x:v>165</x:v>
      </x:c>
      <x:c r="C47" s="1" t="str">
        <x:v>Azerbaijan (Azerbaïdjan)</x:v>
      </x:c>
      <x:c r="D47" s="1" t="str">
        <x:v>Asie</x:v>
      </x:c>
      <x:c r="E47" s="1">
        <x:v>10</x:v>
      </x:c>
      <x:c r="F47" s="1">
        <x:v>54.803100000000001</x:v>
      </x:c>
      <x:c r="G47" s="2">
        <x:v>2504048</x:v>
      </x:c>
      <x:c r="H47" s="1">
        <x:v>25040480</x:v>
      </x:c>
      <x:c r="I47" s="4">
        <x:v>160500865.37376973</x:v>
      </x:c>
      <x:c r="J47" s="20">
        <x:f t="shared" si="0"/>
        <x:v>2.9286822346504073</x:v>
      </x:c>
      <x:c r="K47" s="5">
        <x:v>2.9286822346504073</x:v>
      </x:c>
      <x:c r="L47" s="10">
        <x:v>3.1803137808135946</x:v>
      </x:c>
      <x:c r="M47"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47" s="1" t="s">
        <x:v>166</x:v>
      </x:c>
      <x:c r="O47" s="1">
        <x:v>232120241504</x:v>
      </x:c>
      <x:c r="P47" s="1">
        <x:v>54622.176469999999</x:v>
      </x:c>
      <x:c r="Q47" s="7">
        <x:v>4.2495604625254506</x:v>
      </x:c>
      <x:c r="R47" s="5">
        <x:v>4.2495604625254506</x:v>
      </x:c>
      <x:c r="S47" s="15">
        <x:v>0.56168769753907744</x:v>
      </x:c>
      <x:c r="T47" s="1" t="s">
        <x:v>160</x:v>
      </x:c>
      <x:c r="U47" s="1" t="s">
        <x:v>166</x:v>
      </x:c>
      <x:c r="V47">
        <x:v>-4.66</x:v>
      </x:c>
      <x:c r="W47" s="17" t="s">
        <x:v>166</x:v>
      </x:c>
      <x:c r="X47" s="17">
        <x:f t="shared" si="1"/>
        <x:v>54803100</x:v>
      </x:c>
      <x:c r="Y47" t="str">
        <x:f t="shared" si="2"/>
        <x:v>1 + -0.09 = 0.91</x:v>
      </x:c>
      <x:c r="Z47" t="str">
        <x:f t="shared" si="3"/>
        <x:v>1 + 2.93 = 3.93</x:v>
      </x:c>
    </x:row>
    <x:row r="48">
      <x:c r="A48" s="1" t="s">
        <x:v>167</x:v>
      </x:c>
      <x:c r="B48" s="1" t="s">
        <x:v>168</x:v>
      </x:c>
      <x:c r="C48" s="1" t="str">
        <x:v>Bahrain (Bahreïn)</x:v>
      </x:c>
      <x:c r="D48" s="1" t="str">
        <x:v>Asie</x:v>
      </x:c>
      <x:c r="E48" s="1">
        <x:v>30</x:v>
      </x:c>
      <x:c r="F48" s="1">
        <x:v>54.40802</x:v>
      </x:c>
      <x:c r="G48" s="2">
        <x:v>7815</x:v>
      </x:c>
      <x:c r="H48" s="1">
        <x:v>78150</x:v>
      </x:c>
      <x:c r="I48" s="4">
        <x:v>711919.62419890135</x:v>
      </x:c>
      <x:c r="J48" s="20">
        <x:f t="shared" si="0"/>
        <x:v>1.3084828747653404E-2</x:v>
      </x:c>
      <x:c r="K48" s="5">
        <x:v>1.3084828747653404E-2</x:v>
      </x:c>
      <x:c r="L48" s="10">
        <x:v>3.1803137808135946</x:v>
      </x:c>
      <x:c r="M48" s="1" t="str">
        <x:v>Accélérer la transition vers des sources de protéines végétales apporterait des bénéfices considérables à la macroéconomie nationale et à la santé publique, tout en créant des perspectives exceptionnelles pour transformer les terres désertiques en oasis vertes viables.</x:v>
      </x:c>
      <x:c r="N48" s="1" t="s">
        <x:v>169</x:v>
      </x:c>
      <x:c r="O48" s="1">
        <x:v>724434870</x:v>
      </x:c>
      <x:c r="P48" s="1">
        <x:v>38868.663030000003</x:v>
      </x:c>
      <x:c r="Q48" s="7">
        <x:v>1.8638018741237883E-2</x:v>
      </x:c>
      <x:c r="R48" s="5">
        <x:v>1.8638018741237883E-2</x:v>
      </x:c>
      <x:c r="S48" s="15">
        <x:v>0.56168769753907744</x:v>
      </x:c>
      <x:c r="T48" s="1" t="s">
        <x:v>160</x:v>
      </x:c>
      <x:c r="U48" s="1" t="s">
        <x:v>169</x:v>
      </x:c>
      <x:c r="V48">
        <x:v>-0.01</x:v>
      </x:c>
      <x:c r="W48" s="17" t="s">
        <x:v>169</x:v>
      </x:c>
      <x:c r="X48" s="17">
        <x:f t="shared" si="1"/>
        <x:v>54408020</x:v>
      </x:c>
      <x:c r="Y48" t="str">
        <x:f t="shared" si="2"/>
        <x:v>1 + 0.00 = 1.00</x:v>
      </x:c>
      <x:c r="Z48" t="str">
        <x:f t="shared" si="3"/>
        <x:v>1 + 0.01 = 1.01</x:v>
      </x:c>
    </x:row>
    <x:row r="49">
      <x:c r="A49" s="1" t="s">
        <x:v>170</x:v>
      </x:c>
      <x:c r="B49" s="1" t="s">
        <x:v>171</x:v>
      </x:c>
      <x:c r="C49" s="1" t="str">
        <x:v>Bangladesh (Bangladesh)</x:v>
      </x:c>
      <x:c r="D49" s="1" t="str">
        <x:v>Asie</x:v>
      </x:c>
      <x:c r="E49" s="1">
        <x:v>30</x:v>
      </x:c>
      <x:c r="F49" s="1">
        <x:v>215.9427</x:v>
      </x:c>
      <x:c r="G49" s="2">
        <x:v>24391000</x:v>
      </x:c>
      <x:c r="H49" s="1">
        <x:v>243910000</x:v>
      </x:c>
      <x:c r="I49" s="4">
        <x:v>2221936219.3007555</x:v>
      </x:c>
      <x:c r="J49" s="20">
        <x:f t="shared" si="0"/>
        <x:v>10.289471324109384</x:v>
      </x:c>
      <x:c r="K49" s="5">
        <x:v>10.289471324109384</x:v>
      </x:c>
      <x:c r="L49" s="10">
        <x:v>3.1803137808135946</x:v>
      </x:c>
      <x:c r="M49"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49" s="1" t="s">
        <x:v>172</x:v>
      </x:c>
      <x:c r="O49" s="1">
        <x:v>2260996918000</x:v>
      </x:c>
      <x:c r="P49" s="1">
        <x:v>416264.94290000002</x:v>
      </x:c>
      <x:c r="Q49" s="7">
        <x:v>5.4316294383290478</x:v>
      </x:c>
      <x:c r="R49" s="5">
        <x:v>5.4316294383290478</x:v>
      </x:c>
      <x:c r="S49" s="15">
        <x:v>0.56168769753907744</x:v>
      </x:c>
      <x:c r="T49" s="1" t="s">
        <x:v>160</x:v>
      </x:c>
      <x:c r="U49" s="1" t="s">
        <x:v>172</x:v>
      </x:c>
      <x:c r="V49">
        <x:v>7.89</x:v>
      </x:c>
      <x:c r="W49" s="17" t="s">
        <x:v>172</x:v>
      </x:c>
      <x:c r="X49" s="17">
        <x:f t="shared" si="1"/>
        <x:v>215942700</x:v>
      </x:c>
      <x:c r="Y49" t="str">
        <x:f t="shared" si="2"/>
        <x:v>1 + 0.04 = 1.04</x:v>
      </x:c>
      <x:c r="Z49" t="str">
        <x:f t="shared" si="3"/>
        <x:v>1 + 10.29 = 11.29</x:v>
      </x:c>
    </x:row>
    <x:row r="50">
      <x:c r="A50" s="1" t="s">
        <x:v>173</x:v>
      </x:c>
      <x:c r="B50" s="1" t="s">
        <x:v>174</x:v>
      </x:c>
      <x:c r="C50" s="1" t="str">
        <x:v>Bhutan (Bhoutan)</x:v>
      </x:c>
      <x:c r="D50" s="1" t="str">
        <x:v>Asie</x:v>
      </x:c>
      <x:c r="E50" s="1">
        <x:v>20</x:v>
      </x:c>
      <x:c r="F50" s="1">
        <x:v>1.675716</x:v>
      </x:c>
      <x:c r="G50" s="2">
        <x:v>281015</x:v>
      </x:c>
      <x:c r="H50" s="1">
        <x:v>2810150</x:v>
      </x:c>
      <x:c r="I50" s="4">
        <x:v>25599500.088836119</x:v>
      </x:c>
      <x:c r="J50" s="20">
        <x:f t="shared" si="0"/>
        <x:v>15.276753393078611</x:v>
      </x:c>
      <x:c r="K50" s="5">
        <x:v>15.276753393078611</x:v>
      </x:c>
      <x:c r="L50" s="10">
        <x:v>3.1803137808135946</x:v>
      </x:c>
      <x:c r="M50"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50" s="1" t="s">
        <x:v>175</x:v>
      </x:c>
      <x:c r="O50" s="1">
        <x:v>26049528470</x:v>
      </x:c>
      <x:c r="P50" s="1">
        <x:v>2539.5529849999998</x:v>
      </x:c>
      <x:c r="Q50" s="7">
        <x:v>10.25752509353531</x:v>
      </x:c>
      <x:c r="R50" s="5">
        <x:v>10.25752509353531</x:v>
      </x:c>
      <x:c r="S50" s="15">
        <x:v>0.56168769753907744</x:v>
      </x:c>
      <x:c r="T50" s="1" t="s">
        <x:v>160</x:v>
      </x:c>
      <x:c r="U50" s="1" t="s">
        <x:v>175</x:v>
      </x:c>
      <x:c r="V50">
        <x:v>-0.17</x:v>
      </x:c>
      <x:c r="W50" s="17" t="s">
        <x:v>175</x:v>
      </x:c>
      <x:c r="X50" s="17">
        <x:f t="shared" si="1"/>
        <x:v>1675716</x:v>
      </x:c>
      <x:c r="Y50" t="str">
        <x:f t="shared" si="2"/>
        <x:v>1 + -0.10 = 0.90</x:v>
      </x:c>
      <x:c r="Z50" t="str">
        <x:f t="shared" si="3"/>
        <x:v>1 + 15.28 = 16.28</x:v>
      </x:c>
    </x:row>
    <x:row r="51">
      <x:c r="A51" s="1" t="s">
        <x:v>176</x:v>
      </x:c>
      <x:c r="B51" s="1" t="s">
        <x:v>177</x:v>
      </x:c>
      <x:c r="C51" s="1" t="str">
        <x:v>Cambodia (Cambodge)</x:v>
      </x:c>
      <x:c r="D51" s="1" t="str">
        <x:v>Asie</x:v>
      </x:c>
      <x:c r="E51" s="1">
        <x:v>20</x:v>
      </x:c>
      <x:c r="F51" s="1">
        <x:v>40.061120000000003</x:v>
      </x:c>
      <x:c r="G51" s="2">
        <x:v>2804185</x:v>
      </x:c>
      <x:c r="H51" s="1">
        <x:v>28041850</x:v>
      </x:c>
      <x:c r="I51" s="4">
        <x:v>331164604.90200847</x:v>
      </x:c>
      <x:c r="J51" s="20">
        <x:f t="shared" si="0"/>
        <x:v>8.2664839350973836</x:v>
      </x:c>
      <x:c r="K51" s="5">
        <x:v>8.2664839350973836</x:v>
      </x:c>
      <x:c r="L51" s="10">
        <x:v>3.1803137808135946</x:v>
      </x:c>
      <x:c r="M5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51" s="1" t="s">
        <x:v>178</x:v>
      </x:c>
      <x:c r="O51" s="1">
        <x:v>259942341130</x:v>
      </x:c>
      <x:c r="P51" s="1">
        <x:v>26961.061119999998</x:v>
      </x:c>
      <x:c r="Q51" s="7">
        <x:v>9.6413987555249463</x:v>
      </x:c>
      <x:c r="R51" s="5">
        <x:v>9.6413987555249463</x:v>
      </x:c>
      <x:c r="S51" s="15">
        <x:v>0.56168769753907744</x:v>
      </x:c>
      <x:c r="T51" s="1" t="s">
        <x:v>160</x:v>
      </x:c>
      <x:c r="U51" s="1" t="s">
        <x:v>178</x:v>
      </x:c>
      <x:c r="V51">
        <x:v>47.15</x:v>
      </x:c>
      <x:c r="W51" s="17" t="s">
        <x:v>178</x:v>
      </x:c>
      <x:c r="X51" s="17">
        <x:f t="shared" si="1"/>
        <x:v>40061120</x:v>
      </x:c>
      <x:c r="Y51" t="str">
        <x:f t="shared" si="2"/>
        <x:v>1 + 1.18 = 2.18</x:v>
      </x:c>
      <x:c r="Z51" t="str">
        <x:f t="shared" si="3"/>
        <x:v>1 + 8.27 = 9.27</x:v>
      </x:c>
    </x:row>
    <x:row r="52">
      <x:c r="A52" s="1" t="s">
        <x:v>179</x:v>
      </x:c>
      <x:c r="B52" s="1" t="s">
        <x:v>180</x:v>
      </x:c>
      <x:c r="C52" s="1" t="str">
        <x:v>Georgia (Géorgie)</x:v>
      </x:c>
      <x:c r="D52" s="1" t="str">
        <x:v>Asie</x:v>
      </x:c>
      <x:c r="E52" s="1">
        <x:v>10</x:v>
      </x:c>
      <x:c r="F52" s="1">
        <x:v>17.598600000000001</x:v>
      </x:c>
      <x:c r="G52" s="2">
        <x:v>869500</x:v>
      </x:c>
      <x:c r="H52" s="1">
        <x:v>8695000</x:v>
      </x:c>
      <x:c r="I52" s="4">
        <x:v>32255459.787708856</x:v>
      </x:c>
      <x:c r="J52" s="20">
        <x:f t="shared" si="0"/>
        <x:v>1.8328423731267747</x:v>
      </x:c>
      <x:c r="K52" s="5">
        <x:v>1.8328423731267747</x:v>
      </x:c>
      <x:c r="L52" s="10">
        <x:v>3.1803137808135946</x:v>
      </x:c>
      <x:c r="M5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52" s="1" t="s">
        <x:v>181</x:v>
      </x:c>
      <x:c r="O52" s="1">
        <x:v>80600911000</x:v>
      </x:c>
      <x:c r="P52" s="1">
        <x:v>18629.365600000001</x:v>
      </x:c>
      <x:c r="Q52" s="7">
        <x:v>4.3265515708167754</x:v>
      </x:c>
      <x:c r="R52" s="5">
        <x:v>4.3265515708167754</x:v>
      </x:c>
      <x:c r="S52" s="15">
        <x:v>0.56168769753907744</x:v>
      </x:c>
      <x:c r="T52" s="1" t="s">
        <x:v>160</x:v>
      </x:c>
      <x:c r="U52" s="1" t="s">
        <x:v>181</x:v>
      </x:c>
      <x:c r="V52">
        <x:v>-2.94</x:v>
      </x:c>
      <x:c r="W52" s="17" t="s">
        <x:v>181</x:v>
      </x:c>
      <x:c r="X52" s="17">
        <x:f t="shared" si="1"/>
        <x:v>17598600</x:v>
      </x:c>
      <x:c r="Y52" t="str">
        <x:f t="shared" si="2"/>
        <x:v>1 + -0.17 = 0.83</x:v>
      </x:c>
      <x:c r="Z52" t="str">
        <x:f t="shared" si="3"/>
        <x:v>1 + 1.83 = 2.83</x:v>
      </x:c>
    </x:row>
    <x:row r="53">
      <x:c r="A53" s="1" t="s">
        <x:v>182</x:v>
      </x:c>
      <x:c r="B53" s="1" t="s">
        <x:v>183</x:v>
      </x:c>
      <x:c r="C53" s="1" t="str">
        <x:v>Israel (Israël)</x:v>
      </x:c>
      <x:c r="D53" s="1" t="str">
        <x:v>Asie</x:v>
      </x:c>
      <x:c r="E53" s="1">
        <x:v>10</x:v>
      </x:c>
      <x:c r="F53" s="1">
        <x:v>87.178820000000002</x:v>
      </x:c>
      <x:c r="G53" s="2">
        <x:v>558909</x:v>
      </x:c>
      <x:c r="H53" s="1">
        <x:v>5589090</x:v>
      </x:c>
      <x:c r="I53" s="4">
        <x:v>35824144.810797669</x:v>
      </x:c>
      <x:c r="J53" s="20">
        <x:f t="shared" si="0"/>
        <x:v>0.41092715880758274</x:v>
      </x:c>
      <x:c r="K53" s="5">
        <x:v>0.41092715880758274</x:v>
      </x:c>
      <x:c r="L53" s="10">
        <x:v>3.1803137808135946</x:v>
      </x:c>
      <x:c r="M53" s="1" t="str">
        <x:v>Accélérer la transition vers des sources de protéines végétales apporterait des bénéfices considérables à la macroéconomie nationale et à la santé publique, tout en créant des perspectives exceptionnelles pour transformer les terres désertiques en oasis vertes viables.</x:v>
      </x:c>
      <x:c r="N53" s="1" t="s">
        <x:v>184</x:v>
      </x:c>
      <x:c r="O53" s="1">
        <x:v>51809746482</x:v>
      </x:c>
      <x:c r="P53" s="1">
        <x:v>488526.54590000003</x:v>
      </x:c>
      <x:c r="Q53" s="7">
        <x:v>0.10605308333153569</x:v>
      </x:c>
      <x:c r="R53" s="5">
        <x:v>0.10605308333153569</x:v>
      </x:c>
      <x:c r="S53" s="15">
        <x:v>0.56168769753907744</x:v>
      </x:c>
      <x:c r="T53" s="1" t="s">
        <x:v>160</x:v>
      </x:c>
      <x:c r="U53" s="1" t="s">
        <x:v>184</x:v>
      </x:c>
      <x:c r="V53">
        <x:v>0</x:v>
      </x:c>
      <x:c r="W53" s="17" t="s">
        <x:v>184</x:v>
      </x:c>
      <x:c r="X53" s="17">
        <x:f t="shared" si="1"/>
        <x:v>87178820</x:v>
      </x:c>
      <x:c r="Y53" t="str">
        <x:f t="shared" si="2"/>
        <x:v>1 + 0.00 = 1.00</x:v>
      </x:c>
      <x:c r="Z53" t="str">
        <x:f t="shared" si="3"/>
        <x:v>1 + 0.41 = 1.41</x:v>
      </x:c>
    </x:row>
    <x:row r="54">
      <x:c r="A54" s="1" t="s">
        <x:v>185</x:v>
      </x:c>
      <x:c r="B54" s="1" t="s">
        <x:v>186</x:v>
      </x:c>
      <x:c r="C54" s="1" t="str">
        <x:v>Jordan (Jordanie)</x:v>
      </x:c>
      <x:c r="D54" s="1" t="str">
        <x:v>Asie</x:v>
      </x:c>
      <x:c r="E54" s="1">
        <x:v>20</x:v>
      </x:c>
      <x:c r="F54" s="1">
        <x:v>36.56812</x:v>
      </x:c>
      <x:c r="G54" s="2">
        <x:v>77269</x:v>
      </x:c>
      <x:c r="H54" s="1">
        <x:v>772690</x:v>
      </x:c>
      <x:c r="I54" s="4">
        <x:v>2866414.1717498284</x:v>
      </x:c>
      <x:c r="J54" s="20">
        <x:f t="shared" si="0"/>
        <x:v>7.8385603956392297E-2</x:v>
      </x:c>
      <x:c r="K54" s="5">
        <x:v>7.8385603956392297E-2</x:v>
      </x:c>
      <x:c r="L54" s="10">
        <x:v>3.1803137808135946</x:v>
      </x:c>
      <x:c r="M54" s="1" t="str">
        <x:v>Accélérer la transition vers des sources de protéines végétales apporterait des bénéfices considérables à la macroéconomie nationale et à la santé publique, tout en créant des perspectives exceptionnelles pour transformer les terres désertiques en oasis vertes viables.</x:v>
      </x:c>
      <x:c r="N54" s="1" t="s">
        <x:v>187</x:v>
      </x:c>
      <x:c r="O54" s="1">
        <x:v>7162681762</x:v>
      </x:c>
      <x:c r="P54" s="1">
        <x:v>45744.271659999999</x:v>
      </x:c>
      <x:c r="Q54" s="7">
        <x:v>0.15658095543060616</x:v>
      </x:c>
      <x:c r="R54" s="5">
        <x:v>0.15658095543060616</x:v>
      </x:c>
      <x:c r="S54" s="15">
        <x:v>0.56168769753907744</x:v>
      </x:c>
      <x:c r="T54" s="1" t="s">
        <x:v>160</x:v>
      </x:c>
      <x:c r="U54" s="1" t="s">
        <x:v>187</x:v>
      </x:c>
      <x:c r="V54">
        <x:v>0</x:v>
      </x:c>
      <x:c r="W54" s="17" t="s">
        <x:v>187</x:v>
      </x:c>
      <x:c r="X54" s="17">
        <x:f t="shared" si="1"/>
        <x:v>36568120</x:v>
      </x:c>
      <x:c r="Y54" t="str">
        <x:f t="shared" si="2"/>
        <x:v>1 + 0.00 = 1.00</x:v>
      </x:c>
      <x:c r="Z54" t="str">
        <x:f t="shared" si="3"/>
        <x:v>1 + 0.08 = 1.08</x:v>
      </x:c>
    </x:row>
    <x:row r="55">
      <x:c r="A55" s="1" t="s">
        <x:v>188</x:v>
      </x:c>
      <x:c r="B55" s="1" t="s">
        <x:v>189</x:v>
      </x:c>
      <x:c r="C55" s="1" t="str">
        <x:v>Kazakhstan (Kazakhstan)</x:v>
      </x:c>
      <x:c r="D55" s="1" t="str">
        <x:v>Asie</x:v>
      </x:c>
      <x:c r="E55" s="1">
        <x:v>10</x:v>
      </x:c>
      <x:c r="F55" s="1">
        <x:v>274.66640000000001</x:v>
      </x:c>
      <x:c r="G55" s="2">
        <x:v>7850045</x:v>
      </x:c>
      <x:c r="H55" s="1">
        <x:v>78500450</x:v>
      </x:c>
      <x:c r="I55" s="4">
        <x:v>927063318.17907417</x:v>
      </x:c>
      <x:c r="J55" s="20">
        <x:f t="shared" si="0"/>
        <x:v>3.3752338042770216</x:v>
      </x:c>
      <x:c r="K55" s="5">
        <x:v>3.3752338042770216</x:v>
      </x:c>
      <x:c r="L55" s="10">
        <x:v>3.1803137808135946</x:v>
      </x:c>
      <x:c r="M55"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55" s="1" t="s">
        <x:v>190</x:v>
      </x:c>
      <x:c r="O55" s="1">
        <x:v>727683471410</x:v>
      </x:c>
      <x:c r="P55" s="1">
        <x:v>197112.25539999999</x:v>
      </x:c>
      <x:c r="Q55" s="7">
        <x:v>3.6917210953388544</x:v>
      </x:c>
      <x:c r="R55" s="5">
        <x:v>3.6917210953388544</x:v>
      </x:c>
      <x:c r="S55" s="15">
        <x:v>0.56168769753907744</x:v>
      </x:c>
      <x:c r="T55" s="1" t="s">
        <x:v>160</x:v>
      </x:c>
      <x:c r="U55" s="1" t="s">
        <x:v>190</x:v>
      </x:c>
      <x:c r="V55">
        <x:v>-2.85</x:v>
      </x:c>
      <x:c r="W55" s="17" t="s">
        <x:v>190</x:v>
      </x:c>
      <x:c r="X55" s="17">
        <x:f t="shared" si="1"/>
        <x:v>274666400</x:v>
      </x:c>
      <x:c r="Y55" t="str">
        <x:f t="shared" si="2"/>
        <x:v>1 + -0.01 = 0.99</x:v>
      </x:c>
      <x:c r="Z55" t="str">
        <x:f t="shared" si="3"/>
        <x:v>1 + 3.38 = 4.38</x:v>
      </x:c>
    </x:row>
    <x:row r="56">
      <x:c r="A56" s="1" t="s">
        <x:v>191</x:v>
      </x:c>
      <x:c r="B56" s="1" t="s">
        <x:v>192</x:v>
      </x:c>
      <x:c r="C56" s="1" t="str">
        <x:v>Kyrgyzstan (Kirghizistan)</x:v>
      </x:c>
      <x:c r="D56" s="1" t="str">
        <x:v>Asie</x:v>
      </x:c>
      <x:c r="E56" s="1">
        <x:v>10</x:v>
      </x:c>
      <x:c r="F56" s="1">
        <x:v>16.90728</x:v>
      </x:c>
      <x:c r="G56" s="2">
        <x:v>1715776</x:v>
      </x:c>
      <x:c r="H56" s="1">
        <x:v>17157760</x:v>
      </x:c>
      <x:c r="I56" s="4">
        <x:v>156301293.04280156</x:v>
      </x:c>
      <x:c r="J56" s="20">
        <x:f t="shared" si="0"/>
        <x:v>9.2446149258072001</x:v>
      </x:c>
      <x:c r="K56" s="5">
        <x:v>9.2446149258072001</x:v>
      </x:c>
      <x:c r="L56" s="10">
        <x:v>3.1803137808135946</x:v>
      </x:c>
      <x:c r="M56"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56" s="1" t="s">
        <x:v>193</x:v>
      </x:c>
      <x:c r="O56" s="1">
        <x:v>159049003648</x:v>
      </x:c>
      <x:c r="P56" s="1">
        <x:v>8543.423503</x:v>
      </x:c>
      <x:c r="Q56" s="7">
        <x:v>18.616542138189729</x:v>
      </x:c>
      <x:c r="R56" s="5">
        <x:v>18.616542138189729</x:v>
      </x:c>
      <x:c r="S56" s="15">
        <x:v>0.56168769753907744</x:v>
      </x:c>
      <x:c r="T56" s="1" t="s">
        <x:v>160</x:v>
      </x:c>
      <x:c r="U56" s="1" t="s">
        <x:v>193</x:v>
      </x:c>
      <x:c r="V56">
        <x:v>-2.0099999999999998</x:v>
      </x:c>
      <x:c r="W56" s="17" t="s">
        <x:v>193</x:v>
      </x:c>
      <x:c r="X56" s="17">
        <x:f t="shared" si="1"/>
        <x:v>16907280</x:v>
      </x:c>
      <x:c r="Y56" t="str">
        <x:f t="shared" si="2"/>
        <x:v>1 + -0.12 = 0.88</x:v>
      </x:c>
      <x:c r="Z56" t="str">
        <x:f t="shared" si="3"/>
        <x:v>1 + 9.24 = 10.24</x:v>
      </x:c>
    </x:row>
    <x:row r="57">
      <x:c r="A57" s="1" t="s">
        <x:v>194</x:v>
      </x:c>
      <x:c r="B57" s="1" t="s">
        <x:v>195</x:v>
      </x:c>
      <x:c r="C57" s="1" t="str">
        <x:v>Laos (Laos)</x:v>
      </x:c>
      <x:c r="D57" s="1" t="str">
        <x:v>Asie</x:v>
      </x:c>
      <x:c r="E57" s="1">
        <x:v>30</x:v>
      </x:c>
      <x:c r="F57" s="1">
        <x:v>29.276199999999999</x:v>
      </x:c>
      <x:c r="G57" s="2">
        <x:v>2188000</x:v>
      </x:c>
      <x:c r="H57" s="1">
        <x:v>21880000</x:v>
      </x:c>
      <x:c r="I57" s="4">
        <x:v>81167275.463492796</x:v>
      </x:c>
      <x:c r="J57" s="20">
        <x:f t="shared" si="0"/>
        <x:v>2.772466217046365</x:v>
      </x:c>
      <x:c r="K57" s="5">
        <x:v>2.772466217046365</x:v>
      </x:c>
      <x:c r="L57" s="10">
        <x:v>3.1803137808135946</x:v>
      </x:c>
      <x:c r="M57"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57" s="1" t="s">
        <x:v>196</x:v>
      </x:c>
      <x:c r="O57" s="1">
        <x:v>202823224000</x:v>
      </x:c>
      <x:c r="P57" s="1">
        <x:v>18827.148509999999</x:v>
      </x:c>
      <x:c r="Q57" s="7">
        <x:v>10.77291252534981</x:v>
      </x:c>
      <x:c r="R57" s="5">
        <x:v>10.77291252534981</x:v>
      </x:c>
      <x:c r="S57" s="15">
        <x:v>0.56168769753907744</x:v>
      </x:c>
      <x:c r="T57" s="1" t="s">
        <x:v>160</x:v>
      </x:c>
      <x:c r="U57" s="1" t="s">
        <x:v>196</x:v>
      </x:c>
      <x:c r="V57">
        <x:v>24.31</x:v>
      </x:c>
      <x:c r="W57" s="17" t="s">
        <x:v>196</x:v>
      </x:c>
      <x:c r="X57" s="17">
        <x:f t="shared" si="1"/>
        <x:v>29276200</x:v>
      </x:c>
      <x:c r="Y57" t="str">
        <x:f t="shared" si="2"/>
        <x:v>1 + 0.83 = 1.83</x:v>
      </x:c>
      <x:c r="Z57" t="str">
        <x:f t="shared" si="3"/>
        <x:v>1 + 2.77 = 3.77</x:v>
      </x:c>
    </x:row>
    <x:row r="58">
      <x:c r="A58" s="1" t="s">
        <x:v>197</x:v>
      </x:c>
      <x:c r="B58" s="1" t="s">
        <x:v>198</x:v>
      </x:c>
      <x:c r="C58" s="1" t="str">
        <x:v>Lebanon (Liban)</x:v>
      </x:c>
      <x:c r="D58" s="1" t="str">
        <x:v>Asie</x:v>
      </x:c>
      <x:c r="E58" s="1">
        <x:v>30</x:v>
      </x:c>
      <x:c r="F58" s="1">
        <x:v>35.209910000000001</x:v>
      </x:c>
      <x:c r="G58" s="2">
        <x:v>86676</x:v>
      </x:c>
      <x:c r="H58" s="1">
        <x:v>866760</x:v>
      </x:c>
      <x:c r="I58" s="4">
        <x:v>5555633.5210574502</x:v>
      </x:c>
      <x:c r="J58" s="20">
        <x:f t="shared" si="0"/>
        <x:v>0.15778607559796234</x:v>
      </x:c>
      <x:c r="K58" s="5">
        <x:v>0.15778607559796234</x:v>
      </x:c>
      <x:c r="L58" s="10">
        <x:v>3.1803137808135946</x:v>
      </x:c>
      <x:c r="M58" s="1" t="str">
        <x:v>Accélérer la transition vers des sources de protéines végétales apporterait des bénéfices considérables à la macroéconomie nationale et à la santé publique, tout en créant des perspectives exceptionnelles pour transformer les terres désertiques en oasis vertes viables.</x:v>
      </x:c>
      <x:c r="N58" s="1" t="s">
        <x:v>199</x:v>
      </x:c>
      <x:c r="O58" s="1">
        <x:v>8034691848</x:v>
      </x:c>
      <x:c r="P58" s="1">
        <x:v>23131.940279999999</x:v>
      </x:c>
      <x:c r="Q58" s="7">
        <x:v>0.34734188964454649</x:v>
      </x:c>
      <x:c r="R58" s="5">
        <x:v>0.34734188964454649</x:v>
      </x:c>
      <x:c r="S58" s="15">
        <x:v>0.56168769753907744</x:v>
      </x:c>
      <x:c r="T58" s="1" t="s">
        <x:v>160</x:v>
      </x:c>
      <x:c r="U58" s="1" t="s">
        <x:v>199</x:v>
      </x:c>
      <x:c r="V58">
        <x:v>0.2</x:v>
      </x:c>
      <x:c r="W58" s="17" t="s">
        <x:v>199</x:v>
      </x:c>
      <x:c r="X58" s="17">
        <x:f t="shared" si="1"/>
        <x:v>35209910</x:v>
      </x:c>
      <x:c r="Y58" t="str">
        <x:f t="shared" si="2"/>
        <x:v>1 + 0.01 = 1.01</x:v>
      </x:c>
      <x:c r="Z58" t="str">
        <x:f t="shared" si="3"/>
        <x:v>1 + 0.16 = 1.16</x:v>
      </x:c>
    </x:row>
    <x:row r="59">
      <x:c r="A59" s="1" t="s">
        <x:v>200</x:v>
      </x:c>
      <x:c r="B59" s="1" t="s">
        <x:v>201</x:v>
      </x:c>
      <x:c r="C59" s="1" t="str">
        <x:v>Malaysia (Malaisie)</x:v>
      </x:c>
      <x:c r="D59" s="1" t="str">
        <x:v>Asie</x:v>
      </x:c>
      <x:c r="E59" s="1">
        <x:v>30</x:v>
      </x:c>
      <x:c r="F59" s="1">
        <x:v>313.02359999999999</x:v>
      </x:c>
      <x:c r="G59" s="2">
        <x:v>659317</x:v>
      </x:c>
      <x:c r="H59" s="1">
        <x:v>6593170</x:v>
      </x:c>
      <x:c r="I59" s="4">
        <x:v>60061511.30747883</x:v>
      </x:c>
      <x:c r="J59" s="20">
        <x:f t="shared" si="0"/>
        <x:v>0.19187534520553348</x:v>
      </x:c>
      <x:c r="K59" s="5">
        <x:v>0.19187534520553348</x:v>
      </x:c>
      <x:c r="L59" s="10">
        <x:v>3.1803137808135946</x:v>
      </x:c>
      <x:c r="M59" s="1" t="str">
        <x:v>Accélérer la transition vers des sources de protéines végétales apporterait des bénéfices considérables à la macroéconomie nationale et à la santé publique, tout en créant des perspectives exceptionnelles pour transformer les terres désertiques en oasis vertes viables.</x:v>
      </x:c>
      <x:c r="N59" s="1" t="s">
        <x:v>90</x:v>
      </x:c>
      <x:c r="O59" s="1">
        <x:v>61117367266</x:v>
      </x:c>
      <x:c r="P59" s="1">
        <x:v>372980.9572</x:v>
      </x:c>
      <x:c r="Q59" s="7">
        <x:v>0.1638618971992922</x:v>
      </x:c>
      <x:c r="R59" s="5">
        <x:v>0.1638618971992922</x:v>
      </x:c>
      <x:c r="S59" s="15">
        <x:v>0.56168769753907744</x:v>
      </x:c>
      <x:c r="T59" s="1" t="s">
        <x:v>160</x:v>
      </x:c>
      <x:c r="U59" s="1" t="s">
        <x:v>90</x:v>
      </x:c>
      <x:c r="V59">
        <x:v>0</x:v>
      </x:c>
      <x:c r="W59" s="17" t="s">
        <x:v>202</x:v>
      </x:c>
      <x:c r="X59" s="17">
        <x:f t="shared" si="1"/>
        <x:v>313023600</x:v>
      </x:c>
      <x:c r="Y59" t="str">
        <x:f t="shared" si="2"/>
        <x:v>1 + 0.00 = 1.00</x:v>
      </x:c>
      <x:c r="Z59" t="str">
        <x:f t="shared" si="3"/>
        <x:v>1 + 0.19 = 1.19</x:v>
      </x:c>
    </x:row>
    <x:row r="60">
      <x:c r="A60" s="1" t="s">
        <x:v>203</x:v>
      </x:c>
      <x:c r="B60" s="1" t="s">
        <x:v>204</x:v>
      </x:c>
      <x:c r="C60" s="1" t="str">
        <x:v>Maldives (Maldives)</x:v>
      </x:c>
      <x:c r="D60" s="1" t="str">
        <x:v>Asie</x:v>
      </x:c>
      <x:c r="E60" s="1">
        <x:v>30</x:v>
      </x:c>
      <x:c r="F60" s="1">
        <x:v>2.6005289999999999</x:v>
      </x:c>
      <x:c r="G60" s="2">
        <x:v>10729</x:v>
      </x:c>
      <x:c r="H60" s="1">
        <x:v>107290</x:v>
      </x:c>
      <x:c r="I60" s="4">
        <x:v>1267058.0029468986</x:v>
      </x:c>
      <x:c r="J60" s="20">
        <x:f t="shared" si="0"/>
        <x:v>0.48723086839135366</x:v>
      </x:c>
      <x:c r="K60" s="5">
        <x:v>0.48723086839135366</x:v>
      </x:c>
      <x:c r="L60" s="10">
        <x:v>3.1803137808135946</x:v>
      </x:c>
      <x:c r="M60" s="1" t="str">
        <x:v>Accélérer la transition vers des sources de protéines végétales apporterait des bénéfices considérables à la macroéconomie nationale et à la santé publique, tout en créant des perspectives exceptionnelles pour transformer les terres désertiques en oasis vertes viables.</x:v>
      </x:c>
      <x:c r="N60" s="1" t="s">
        <x:v>202</x:v>
      </x:c>
      <x:c r="O60" s="1">
        <x:v>994556842</x:v>
      </x:c>
      <x:c r="P60" s="1">
        <x:v>5405.5762359999999</x:v>
      </x:c>
      <x:c r="Q60" s="7">
        <x:v>0.18398720110105204</x:v>
      </x:c>
      <x:c r="R60" s="5">
        <x:v>0.18398720110105204</x:v>
      </x:c>
      <x:c r="S60" s="15">
        <x:v>0.56168769753907744</x:v>
      </x:c>
      <x:c r="T60" s="1" t="s">
        <x:v>160</x:v>
      </x:c>
      <x:c r="U60" s="1" t="s">
        <x:v>202</x:v>
      </x:c>
      <x:c r="V60">
        <x:v>24.52</x:v>
      </x:c>
      <x:c r="W60" s="17" t="s">
        <x:v>93</x:v>
      </x:c>
      <x:c r="X60" s="17">
        <x:f t="shared" si="1"/>
        <x:v>2600529</x:v>
      </x:c>
      <x:c r="Y60" t="str">
        <x:f t="shared" si="2"/>
        <x:v>1 + 9.43 = 10.43</x:v>
      </x:c>
      <x:c r="Z60" t="str">
        <x:f t="shared" si="3"/>
        <x:v>1 + 0.49 = 1.49</x:v>
      </x:c>
    </x:row>
    <x:row r="61">
      <x:c r="A61" s="1" t="s">
        <x:v>205</x:v>
      </x:c>
      <x:c r="B61" s="1" t="s">
        <x:v>206</x:v>
      </x:c>
      <x:c r="C61" s="1" t="str">
        <x:v>Mongolia (Mongolie)</x:v>
      </x:c>
      <x:c r="D61" s="1" t="str">
        <x:v>Asie</x:v>
      </x:c>
      <x:c r="E61" s="1">
        <x:v>10</x:v>
      </x:c>
      <x:c r="F61" s="1">
        <x:v>56.052140000000001</x:v>
      </x:c>
      <x:c r="G61" s="2">
        <x:v>4732010</x:v>
      </x:c>
      <x:c r="H61" s="1">
        <x:v>47320100</x:v>
      </x:c>
      <x:c r="I61" s="4">
        <x:v>175541297.60786223</x:v>
      </x:c>
      <x:c r="J61" s="20">
        <x:f t="shared" si="0"/>
        <x:v>3.1317501456298054</x:v>
      </x:c>
      <x:c r="K61" s="5">
        <x:v>3.1317501456298054</x:v>
      </x:c>
      <x:c r="L61" s="10">
        <x:v>3.1803137808135946</x:v>
      </x:c>
      <x:c r="M6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61" s="1" t="s">
        <x:v>207</x:v>
      </x:c>
      <x:c r="O61" s="1">
        <x:v>438647862980</x:v>
      </x:c>
      <x:c r="P61" s="1">
        <x:v>15286.44182</x:v>
      </x:c>
      <x:c r="Q61" s="7">
        <x:v>28.695223397644803</x:v>
      </x:c>
      <x:c r="R61" s="5">
        <x:v>28.695223397644803</x:v>
      </x:c>
      <x:c r="S61" s="15">
        <x:v>0.56168769753907744</x:v>
      </x:c>
      <x:c r="T61" s="1" t="s">
        <x:v>160</x:v>
      </x:c>
      <x:c r="U61" s="1" t="s">
        <x:v>207</x:v>
      </x:c>
      <x:c r="V61">
        <x:v>22.26</x:v>
      </x:c>
      <x:c r="W61" s="17" t="s">
        <x:v>207</x:v>
      </x:c>
      <x:c r="X61" s="17">
        <x:f t="shared" si="1"/>
        <x:v>56052140</x:v>
      </x:c>
      <x:c r="Y61" t="str">
        <x:f t="shared" si="2"/>
        <x:v>1 + 0.40 = 1.40</x:v>
      </x:c>
      <x:c r="Z61" t="str">
        <x:f t="shared" si="3"/>
        <x:v>1 + 3.13 = 4.13</x:v>
      </x:c>
    </x:row>
    <x:row r="62">
      <x:c r="A62" s="1" t="s">
        <x:v>208</x:v>
      </x:c>
      <x:c r="B62" s="1" t="s">
        <x:v>209</x:v>
      </x:c>
      <x:c r="C62" s="1" t="str">
        <x:v>Myanmar (Myanmar)</x:v>
      </x:c>
      <x:c r="D62" s="1" t="str">
        <x:v>Asie</x:v>
      </x:c>
      <x:c r="E62" s="1">
        <x:v>20</x:v>
      </x:c>
      <x:c r="F62" s="1">
        <x:v>133.2509</x:v>
      </x:c>
      <x:c r="G62" s="2">
        <x:v>18885801</x:v>
      </x:c>
      <x:c r="H62" s="1">
        <x:v>188858010</x:v>
      </x:c>
      <x:c r="I62" s="4">
        <x:v>1210514895.7914569</x:v>
      </x:c>
      <x:c r="J62" s="20">
        <x:f t="shared" si="0"/>
        <x:v>9.0844781970812729</x:v>
      </x:c>
      <x:c r="K62" s="5">
        <x:v>9.0844781970812729</x:v>
      </x:c>
      <x:c r="L62" s="10">
        <x:v>3.1803137808135946</x:v>
      </x:c>
      <x:c r="M6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62" s="1" t="s">
        <x:v>210</x:v>
      </x:c>
      <x:c r="O62" s="1">
        <x:v>1750675981098</x:v>
      </x:c>
      <x:c r="P62" s="1">
        <x:v>65091.751270000001</x:v>
      </x:c>
      <x:c r="Q62" s="7">
        <x:v>26.895512057068672</x:v>
      </x:c>
      <x:c r="R62" s="5">
        <x:v>26.895512057068672</x:v>
      </x:c>
      <x:c r="S62" s="15">
        <x:v>0.56168769753907744</x:v>
      </x:c>
      <x:c r="T62" s="1" t="s">
        <x:v>160</x:v>
      </x:c>
      <x:c r="U62" s="1" t="s">
        <x:v>210</x:v>
      </x:c>
      <x:c r="V62">
        <x:v>79.75</x:v>
      </x:c>
      <x:c r="W62" s="17" t="s">
        <x:v>210</x:v>
      </x:c>
      <x:c r="X62" s="17">
        <x:f t="shared" si="1"/>
        <x:v>133250900</x:v>
      </x:c>
      <x:c r="Y62" t="str">
        <x:f t="shared" si="2"/>
        <x:v>1 + 0.60 = 1.60</x:v>
      </x:c>
      <x:c r="Z62" t="str">
        <x:f t="shared" si="3"/>
        <x:v>1 + 9.08 = 10.08</x:v>
      </x:c>
    </x:row>
    <x:row r="63">
      <x:c r="A63" s="1" t="s">
        <x:v>211</x:v>
      </x:c>
      <x:c r="B63" s="1" t="s">
        <x:v>212</x:v>
      </x:c>
      <x:c r="C63" s="1" t="str">
        <x:v>Nepal (Népal)</x:v>
      </x:c>
      <x:c r="D63" s="1" t="str">
        <x:v>Asie</x:v>
      </x:c>
      <x:c r="E63" s="1">
        <x:v>20</x:v>
      </x:c>
      <x:c r="F63" s="1">
        <x:v>44.215159999999997</x:v>
      </x:c>
      <x:c r="G63" s="2">
        <x:v>7458885</x:v>
      </x:c>
      <x:c r="H63" s="1">
        <x:v>74588850</x:v>
      </x:c>
      <x:c r="I63" s="4">
        <x:v>276698982.37911993</x:v>
      </x:c>
      <x:c r="J63" s="20">
        <x:f t="shared" si="0"/>
        <x:v>6.2580115593638004</x:v>
      </x:c>
      <x:c r="K63" s="5">
        <x:v>6.2580115593638004</x:v>
      </x:c>
      <x:c r="L63" s="10">
        <x:v>3.1803137808135946</x:v>
      </x:c>
      <x:c r="M63"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63" s="1" t="s">
        <x:v>213</x:v>
      </x:c>
      <x:c r="O63" s="1">
        <x:v>691423721730</x:v>
      </x:c>
      <x:c r="P63" s="1">
        <x:v>36288.830370000003</x:v>
      </x:c>
      <x:c r="Q63" s="7">
        <x:v>19.053348225342653</x:v>
      </x:c>
      <x:c r="R63" s="5">
        <x:v>19.053348225342653</x:v>
      </x:c>
      <x:c r="S63" s="15">
        <x:v>0.56168769753907744</x:v>
      </x:c>
      <x:c r="T63" s="1" t="s">
        <x:v>160</x:v>
      </x:c>
      <x:c r="U63" s="1" t="s">
        <x:v>213</x:v>
      </x:c>
      <x:c r="V63">
        <x:v>-0.23</x:v>
      </x:c>
      <x:c r="W63" s="17" t="s">
        <x:v>213</x:v>
      </x:c>
      <x:c r="X63" s="17">
        <x:f t="shared" si="1"/>
        <x:v>44215160</x:v>
      </x:c>
      <x:c r="Y63" t="str">
        <x:f t="shared" si="2"/>
        <x:v>1 + -0.01 = 0.99</x:v>
      </x:c>
      <x:c r="Z63" t="str">
        <x:f t="shared" si="3"/>
        <x:v>1 + 6.26 = 7.26</x:v>
      </x:c>
    </x:row>
    <x:row r="64">
      <x:c r="A64" s="1" t="s">
        <x:v>214</x:v>
      </x:c>
      <x:c r="B64" s="1" t="s">
        <x:v>215</x:v>
      </x:c>
      <x:c r="C64" s="1" t="str">
        <x:v>North Korea (Corée du Nord)</x:v>
      </x:c>
      <x:c r="D64" s="1" t="str">
        <x:v>Asie</x:v>
      </x:c>
      <x:c r="E64" s="1">
        <x:v>10</x:v>
      </x:c>
      <x:c r="F64" s="1">
        <x:v>79.342529999999996</x:v>
      </x:c>
      <x:c r="G64" s="2">
        <x:v>581000</x:v>
      </x:c>
      <x:c r="H64" s="1">
        <x:v>5810000</x:v>
      </x:c>
      <x:c r="I64" s="4">
        <x:v>21553101.939803161</x:v>
      </x:c>
      <x:c r="J64" s="20">
        <x:f t="shared" si="0"/>
        <x:v>0.27164626512165874</x:v>
      </x:c>
      <x:c r="K64" s="5">
        <x:v>0.27164626512165874</x:v>
      </x:c>
      <x:c r="L64" s="10">
        <x:v>3.1803137808135946</x:v>
      </x:c>
      <x:c r="M64" s="1" t="str">
        <x:v>Accélérer la transition vers des sources de protéines végétales apporterait des bénéfices considérables à la macroéconomie nationale et à la santé publique, tout en créant des perspectives exceptionnelles pour transformer les terres désertiques en oasis vertes viables.</x:v>
      </x:c>
      <x:c r="N64" s="1" t="s">
        <x:v>216</x:v>
      </x:c>
      <x:c r="O64" s="1">
        <x:v>53857538000</x:v>
      </x:c>
      <x:c r="P64" s="1">
        <x:v>679400</x:v>
      </x:c>
      <x:c r="Q64" s="7">
        <x:v>7.9272207830438618E-2</x:v>
      </x:c>
      <x:c r="R64" s="5">
        <x:v>7.9272207830438618E-2</x:v>
      </x:c>
      <x:c r="S64" s="15">
        <x:v>0.56168769753907744</x:v>
      </x:c>
      <x:c r="T64" s="1" t="s">
        <x:v>160</x:v>
      </x:c>
      <x:c r="U64" s="1" t="s">
        <x:v>216</x:v>
      </x:c>
      <x:c r="V64">
        <x:v>-1.76</x:v>
      </x:c>
      <x:c r="W64" s="17" t="s">
        <x:v>216</x:v>
      </x:c>
      <x:c r="X64" s="17">
        <x:f t="shared" si="1"/>
        <x:v>79342530</x:v>
      </x:c>
      <x:c r="Y64" t="str">
        <x:f t="shared" si="2"/>
        <x:v>1 + -0.02 = 0.98</x:v>
      </x:c>
      <x:c r="Z64" t="str">
        <x:f t="shared" si="3"/>
        <x:v>1 + 0.27 = 1.27</x:v>
      </x:c>
    </x:row>
    <x:row r="65">
      <x:c r="A65" s="1" t="s">
        <x:v>217</x:v>
      </x:c>
      <x:c r="B65" s="1" t="s">
        <x:v>218</x:v>
      </x:c>
      <x:c r="C65" s="1" t="str">
        <x:v>Oman (Oman)</x:v>
      </x:c>
      <x:c r="D65" s="1" t="str">
        <x:v>Asie</x:v>
      </x:c>
      <x:c r="E65" s="1">
        <x:v>20</x:v>
      </x:c>
      <x:c r="F65" s="1">
        <x:v>100.2594</x:v>
      </x:c>
      <x:c r="G65" s="2">
        <x:v>412948</x:v>
      </x:c>
      <x:c r="H65" s="1">
        <x:v>4129480</x:v>
      </x:c>
      <x:c r="I65" s="4">
        <x:v>26468546.670977339</x:v>
      </x:c>
      <x:c r="J65" s="20">
        <x:f t="shared" si="0"/>
        <x:v>0.26400064902619941</x:v>
      </x:c>
      <x:c r="K65" s="5">
        <x:v>0.26400064902619941</x:v>
      </x:c>
      <x:c r="L65" s="10">
        <x:v>3.1803137808135946</x:v>
      </x:c>
      <x:c r="M65" s="1" t="str">
        <x:v>Accélérer la transition vers des sources de protéines végétales apporterait des bénéfices considérables à la macroéconomie nationale et à la santé publique, tout en créant des perspectives exceptionnelles pour transformer les terres désertiques en oasis vertes viables.</x:v>
      </x:c>
      <x:c r="N65" s="1" t="s">
        <x:v>219</x:v>
      </x:c>
      <x:c r="O65" s="1">
        <x:v>38279453704</x:v>
      </x:c>
      <x:c r="P65" s="1">
        <x:v>88191.977369999993</x:v>
      </x:c>
      <x:c r="Q65" s="7">
        <x:v>0.43404689230861271</x:v>
      </x:c>
      <x:c r="R65" s="5">
        <x:v>0.43404689230861271</x:v>
      </x:c>
      <x:c r="S65" s="15">
        <x:v>0.56168769753907744</x:v>
      </x:c>
      <x:c r="T65" s="1" t="s">
        <x:v>160</x:v>
      </x:c>
      <x:c r="U65" s="1" t="s">
        <x:v>219</x:v>
      </x:c>
      <x:c r="V65">
        <x:v>0</x:v>
      </x:c>
      <x:c r="W65" s="17" t="s">
        <x:v>219</x:v>
      </x:c>
      <x:c r="X65" s="17">
        <x:f t="shared" si="1"/>
        <x:v>100259400</x:v>
      </x:c>
      <x:c r="Y65" t="str">
        <x:f t="shared" si="2"/>
        <x:v>1 + 0.00 = 1.00</x:v>
      </x:c>
      <x:c r="Z65" t="str">
        <x:f t="shared" si="3"/>
        <x:v>1 + 0.26 = 1.26</x:v>
      </x:c>
    </x:row>
    <x:row r="66">
      <x:c r="A66" s="1" t="s">
        <x:v>220</x:v>
      </x:c>
      <x:c r="B66" s="1" t="s">
        <x:v>221</x:v>
      </x:c>
      <x:c r="C66" s="1" t="str">
        <x:v>Philippines (Philippines)</x:v>
      </x:c>
      <x:c r="D66" s="1" t="str">
        <x:v>Asie</x:v>
      </x:c>
      <x:c r="E66" s="1">
        <x:v>20</x:v>
      </x:c>
      <x:c r="F66" s="1">
        <x:v>234.2833</x:v>
      </x:c>
      <x:c r="G66" s="2">
        <x:v>2541959</x:v>
      </x:c>
      <x:c r="H66" s="1">
        <x:v>25419590</x:v>
      </x:c>
      <x:c r="I66" s="4">
        <x:v>94297937.097762644</x:v>
      </x:c>
      <x:c r="J66" s="20">
        <x:f t="shared" si="0"/>
        <x:v>0.40249534259489533</x:v>
      </x:c>
      <x:c r="K66" s="5">
        <x:v>0.40249534259489533</x:v>
      </x:c>
      <x:c r="L66" s="10">
        <x:v>3.1803137808135946</x:v>
      </x:c>
      <x:c r="M66" s="1" t="str">
        <x:v>Accélérer la transition vers des sources de protéines végétales apporterait des bénéfices considérables à la macroéconomie nationale et à la santé publique, tout en créant des perspectives exceptionnelles pour transformer les terres désertiques en oasis vertes viables.</x:v>
      </x:c>
      <x:c r="N66" s="1" t="s">
        <x:v>222</x:v>
      </x:c>
      <x:c r="O66" s="1">
        <x:v>235634515382</x:v>
      </x:c>
      <x:c r="P66" s="1">
        <x:v>394086.40120000002</x:v>
      </x:c>
      <x:c r="Q66" s="7">
        <x:v>0.59792602501504433</x:v>
      </x:c>
      <x:c r="R66" s="5">
        <x:v>0.59792602501504433</x:v>
      </x:c>
      <x:c r="S66" s="15">
        <x:v>0.56168769753907744</x:v>
      </x:c>
      <x:c r="T66" s="1" t="s">
        <x:v>160</x:v>
      </x:c>
      <x:c r="U66" s="1" t="s">
        <x:v>222</x:v>
      </x:c>
      <x:c r="V66">
        <x:v>-20.63</x:v>
      </x:c>
      <x:c r="W66" s="17" t="s">
        <x:v>222</x:v>
      </x:c>
      <x:c r="X66" s="17">
        <x:f t="shared" si="1"/>
        <x:v>234283300</x:v>
      </x:c>
      <x:c r="Y66" t="str">
        <x:f t="shared" si="2"/>
        <x:v>1 + -0.09 = 0.91</x:v>
      </x:c>
      <x:c r="Z66" t="str">
        <x:f t="shared" si="3"/>
        <x:v>1 + 0.40 = 1.40</x:v>
      </x:c>
    </x:row>
    <x:row r="67">
      <x:c r="A67" s="1" t="s">
        <x:v>223</x:v>
      </x:c>
      <x:c r="B67" s="1" t="s">
        <x:v>224</x:v>
      </x:c>
      <x:c r="C67" s="1" t="str">
        <x:v>Qatar (Qatar)</x:v>
      </x:c>
      <x:c r="D67" s="1" t="str">
        <x:v>Asie</x:v>
      </x:c>
      <x:c r="E67" s="1">
        <x:v>30</x:v>
      </x:c>
      <x:c r="F67" s="1">
        <x:v>114.7564</x:v>
      </x:c>
      <x:c r="G67" s="2">
        <x:v>44718</x:v>
      </x:c>
      <x:c r="H67" s="1">
        <x:v>447180</x:v>
      </x:c>
      <x:c r="I67" s="4">
        <x:v>5281042.0147058824</x:v>
      </x:c>
      <x:c r="J67" s="20" t="n">
        <x:f t="shared" ref="J67:J130" si="4">K67</x:f>
        <x:v>0.04601958596388422</x:v>
      </x:c>
      <x:c r="K67" s="5">
        <x:v>4.6019585963884217E-2</x:v>
      </x:c>
      <x:c r="L67" s="10">
        <x:v>3.1803137808135946</x:v>
      </x:c>
      <x:c r="M67" s="1" t="str">
        <x:v>Accélérer la transition vers des sources de protéines végétales apporterait des bénéfices considérables à la macroéconomie nationale et à la santé publique, tout en créant des perspectives exceptionnelles pour transformer les terres désertiques en oasis vertes viables.</x:v>
      </x:c>
      <x:c r="N67" s="1" t="s">
        <x:v>225</x:v>
      </x:c>
      <x:c r="O67" s="1">
        <x:v>4145269164</x:v>
      </x:c>
      <x:c r="P67" s="1">
        <x:v>179677.21179999999</x:v>
      </x:c>
      <x:c r="Q67" s="7">
        <x:v>2.3070644977584185E-2</x:v>
      </x:c>
      <x:c r="R67" s="5">
        <x:v>2.3070644977584185E-2</x:v>
      </x:c>
      <x:c r="S67" s="15">
        <x:v>0.56168769753907744</x:v>
      </x:c>
      <x:c r="T67" s="1" t="s">
        <x:v>160</x:v>
      </x:c>
      <x:c r="U67" s="1" t="s">
        <x:v>225</x:v>
      </x:c>
      <x:c r="V67">
        <x:v>0</x:v>
      </x:c>
      <x:c r="W67" s="17" t="s">
        <x:v>225</x:v>
      </x:c>
      <x:c r="X67" s="17" t="n">
        <x:f t="shared" ref="X67:X130" si="5">F67*1000000</x:f>
        <x:v>114756400</x:v>
      </x:c>
      <x:c r="Y67" t="str">
        <x:f t="shared" ref="Y67:Y130" si="6">"1 + " &amp; TEXT(V67/F67, "0.00") &amp; " = " &amp; TEXT(1 + (V67/F67), "0.00")</x:f>
        <x:v>1 + 0.00 = 1.00</x:v>
      </x:c>
      <x:c r="Z67" t="str">
        <x:f t="shared" ref="Z67:Z130" si="7">"1 + " &amp; TEXT(I67/X67, "0.00") &amp; " = " &amp; TEXT(1 + (I67/X67), "0.00")</x:f>
        <x:v>1 + 0.05 = 1.05</x:v>
      </x:c>
    </x:row>
    <x:row r="68">
      <x:c r="A68" s="1" t="s">
        <x:v>226</x:v>
      </x:c>
      <x:c r="B68" s="1" t="s">
        <x:v>227</x:v>
      </x:c>
      <x:c r="C68" s="1" t="str">
        <x:v>Singapore (Singapour)</x:v>
      </x:c>
      <x:c r="D68" s="1" t="str">
        <x:v>Asie</x:v>
      </x:c>
      <x:c r="E68" s="1">
        <x:v>20</x:v>
      </x:c>
      <x:c r="F68" s="1">
        <x:v>67.231750000000005</x:v>
      </x:c>
      <x:c r="G68" s="2">
        <x:v>174</x:v>
      </x:c>
      <x:c r="H68" s="1">
        <x:v>1740</x:v>
      </x:c>
      <x:c r="I68" s="4">
        <x:v>6454.8016136415654</x:v>
      </x:c>
      <x:c r="J68" s="20">
        <x:f t="shared" si="4"/>
        <x:v>9.6008234407725008E-5</x:v>
      </x:c>
      <x:c r="K68" s="5">
        <x:v>9.6008234407725008E-5</x:v>
      </x:c>
      <x:c r="L68" s="10">
        <x:v>3.1803137808135946</x:v>
      </x:c>
      <x:c r="M68" s="1" t="str">
        <x:v>Accélérer la transition vers des sources de protéines végétales apporterait des bénéfices considérables à la macroéconomie nationale et à la santé publique, tout en créant des perspectives exceptionnelles pour transformer les terres désertiques en oasis vertes viables.</x:v>
      </x:c>
      <x:c r="N68" s="1" t="s">
        <x:v>228</x:v>
      </x:c>
      <x:c r="O68" s="1">
        <x:v>16129452</x:v>
      </x:c>
      <x:c r="P68" s="1">
        <x:v>396986.89990000002</x:v>
      </x:c>
      <x:c r="Q68" s="7">
        <x:v>4.0629683256709396E-5</x:v>
      </x:c>
      <x:c r="R68" s="5">
        <x:v>4.0629683256709396E-5</x:v>
      </x:c>
      <x:c r="S68" s="15">
        <x:v>0.56168769753907744</x:v>
      </x:c>
      <x:c r="T68" s="1" t="s">
        <x:v>160</x:v>
      </x:c>
      <x:c r="U68" s="1" t="s">
        <x:v>228</x:v>
      </x:c>
      <x:c r="V68">
        <x:v>-0.08</x:v>
      </x:c>
      <x:c r="W68" s="17" t="s">
        <x:v>228</x:v>
      </x:c>
      <x:c r="X68" s="17">
        <x:f t="shared" si="5"/>
        <x:v>67231750</x:v>
      </x:c>
      <x:c r="Y68" t="str">
        <x:f t="shared" si="6"/>
        <x:v>1 + 0.00 = 1.00</x:v>
      </x:c>
      <x:c r="Z68" t="str">
        <x:f t="shared" si="7"/>
        <x:v>1 + 0.00 = 1.00</x:v>
      </x:c>
    </x:row>
    <x:row r="69">
      <x:c r="A69" s="1" t="s">
        <x:v>229</x:v>
      </x:c>
      <x:c r="B69" s="1" t="s">
        <x:v>230</x:v>
      </x:c>
      <x:c r="C69" s="1" t="str">
        <x:v>Sri Lanka (Sri Lanka)</x:v>
      </x:c>
      <x:c r="D69" s="1" t="str">
        <x:v>Asie</x:v>
      </x:c>
      <x:c r="E69" s="1">
        <x:v>20</x:v>
      </x:c>
      <x:c r="F69" s="1">
        <x:v>35.98518</x:v>
      </x:c>
      <x:c r="G69" s="2">
        <x:v>1103570</x:v>
      </x:c>
      <x:c r="H69" s="1">
        <x:v>11035700</x:v>
      </x:c>
      <x:c r="I69" s="4">
        <x:v>70735041.820496678</x:v>
      </x:c>
      <x:c r="J69" s="20">
        <x:f t="shared" si="4"/>
        <x:v>1.9656714742151262</x:v>
      </x:c>
      <x:c r="K69" s="5">
        <x:v>1.9656714742151262</x:v>
      </x:c>
      <x:c r="L69" s="10">
        <x:v>3.1803137808135946</x:v>
      </x:c>
      <x:c r="M69"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69" s="1" t="s">
        <x:v>231</x:v>
      </x:c>
      <x:c r="O69" s="1">
        <x:v>102298731860</x:v>
      </x:c>
      <x:c r="P69" s="1">
        <x:v>88927.263720000003</x:v>
      </x:c>
      <x:c r="Q69" s="7">
        <x:v>1.1503641018585926</x:v>
      </x:c>
      <x:c r="R69" s="5">
        <x:v>1.1503641018585926</x:v>
      </x:c>
      <x:c r="S69" s="15">
        <x:v>0.56168769753907744</x:v>
      </x:c>
      <x:c r="T69" s="1" t="s">
        <x:v>160</x:v>
      </x:c>
      <x:c r="U69" s="1" t="s">
        <x:v>231</x:v>
      </x:c>
      <x:c r="V69">
        <x:v>-0.32</x:v>
      </x:c>
      <x:c r="W69" s="17" t="s">
        <x:v>231</x:v>
      </x:c>
      <x:c r="X69" s="17">
        <x:f t="shared" si="5"/>
        <x:v>35985180</x:v>
      </x:c>
      <x:c r="Y69" t="str">
        <x:f t="shared" si="6"/>
        <x:v>1 + -0.01 = 0.99</x:v>
      </x:c>
      <x:c r="Z69" t="str">
        <x:f t="shared" si="7"/>
        <x:v>1 + 1.97 = 2.97</x:v>
      </x:c>
    </x:row>
    <x:row r="70">
      <x:c r="A70" s="1" t="s">
        <x:v>232</x:v>
      </x:c>
      <x:c r="B70" s="1" t="s">
        <x:v>233</x:v>
      </x:c>
      <x:c r="C70" s="1" t="str">
        <x:v>Syria (Syrie)</x:v>
      </x:c>
      <x:c r="D70" s="1" t="str">
        <x:v>Asie</x:v>
      </x:c>
      <x:c r="E70" s="1">
        <x:v>20</x:v>
      </x:c>
      <x:c r="F70" s="1">
        <x:v>48.478949999999998</x:v>
      </x:c>
      <x:c r="G70" s="2">
        <x:v>884572</x:v>
      </x:c>
      <x:c r="H70" s="1">
        <x:v>8845720</x:v>
      </x:c>
      <x:c r="I70" s="4">
        <x:v>32814579.155069809</x:v>
      </x:c>
      <x:c r="J70" s="20">
        <x:f t="shared" si="4"/>
        <x:v>0.67688304212590844</x:v>
      </x:c>
      <x:c r="K70" s="5">
        <x:v>0.67688304212590844</x:v>
      </x:c>
      <x:c r="L70" s="10">
        <x:v>3.1803137808135946</x:v>
      </x:c>
      <x:c r="M70"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70" s="1" t="s">
        <x:v>234</x:v>
      </x:c>
      <x:c r="O70" s="1">
        <x:v>81998055256</x:v>
      </x:c>
      <x:c r="P70" s="1">
        <x:v>11080</x:v>
      </x:c>
      <x:c r="Q70" s="7">
        <x:v>7.4005465032490978</x:v>
      </x:c>
      <x:c r="R70" s="5">
        <x:v>7.4005465032490978</x:v>
      </x:c>
      <x:c r="S70" s="15">
        <x:v>0.56168769753907744</x:v>
      </x:c>
      <x:c r="T70" s="1" t="s">
        <x:v>160</x:v>
      </x:c>
      <x:c r="U70" s="1" t="s">
        <x:v>234</x:v>
      </x:c>
      <x:c r="V70">
        <x:v>-1.38</x:v>
      </x:c>
      <x:c r="W70" s="17" t="s">
        <x:v>234</x:v>
      </x:c>
      <x:c r="X70" s="17">
        <x:f t="shared" si="5"/>
        <x:v>48478950</x:v>
      </x:c>
      <x:c r="Y70" t="str">
        <x:f t="shared" si="6"/>
        <x:v>1 + -0.03 = 0.97</x:v>
      </x:c>
      <x:c r="Z70" t="str">
        <x:f t="shared" si="7"/>
        <x:v>1 + 0.68 = 1.68</x:v>
      </x:c>
    </x:row>
    <x:row r="71">
      <x:c r="A71" s="1" t="s">
        <x:v>235</x:v>
      </x:c>
      <x:c r="B71" s="1" t="s">
        <x:v>236</x:v>
      </x:c>
      <x:c r="C71" s="1" t="str">
        <x:v>Tajikistan (Tadjikistan)</x:v>
      </x:c>
      <x:c r="D71" s="1" t="str">
        <x:v>Asie</x:v>
      </x:c>
      <x:c r="E71" s="1">
        <x:v>10</x:v>
      </x:c>
      <x:c r="F71" s="1">
        <x:v>17.50619</x:v>
      </x:c>
      <x:c r="G71" s="2">
        <x:v>2335580</x:v>
      </x:c>
      <x:c r="H71" s="1">
        <x:v>23355800</x:v>
      </x:c>
      <x:c r="I71" s="4">
        <x:v>212763305.93556878</x:v>
      </x:c>
      <x:c r="J71" s="20">
        <x:f t="shared" si="4"/>
        <x:v>12.153604292856913</x:v>
      </x:c>
      <x:c r="K71" s="5">
        <x:v>12.153604292856913</x:v>
      </x:c>
      <x:c r="L71" s="10">
        <x:v>3.1803137808135946</x:v>
      </x:c>
      <x:c r="M7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71" s="1" t="s">
        <x:v>237</x:v>
      </x:c>
      <x:c r="O71" s="1">
        <x:v>216503594840</x:v>
      </x:c>
      <x:c r="P71" s="1">
        <x:v>8746.2706359999993</x:v>
      </x:c>
      <x:c r="Q71" s="7">
        <x:v>24.753818381615421</x:v>
      </x:c>
      <x:c r="R71" s="5">
        <x:v>24.753818381615421</x:v>
      </x:c>
      <x:c r="S71" s="15">
        <x:v>0.56168769753907744</x:v>
      </x:c>
      <x:c r="T71" s="1" t="s">
        <x:v>160</x:v>
      </x:c>
      <x:c r="U71" s="1" t="s">
        <x:v>237</x:v>
      </x:c>
      <x:c r="V71">
        <x:v>-0.02</x:v>
      </x:c>
      <x:c r="W71" s="17" t="s">
        <x:v>237</x:v>
      </x:c>
      <x:c r="X71" s="17">
        <x:f t="shared" si="5"/>
        <x:v>17506190</x:v>
      </x:c>
      <x:c r="Y71" t="str">
        <x:f t="shared" si="6"/>
        <x:v>1 + 0.00 = 1.00</x:v>
      </x:c>
      <x:c r="Z71" t="str">
        <x:f t="shared" si="7"/>
        <x:v>1 + 12.15 = 13.15</x:v>
      </x:c>
    </x:row>
    <x:row r="72">
      <x:c r="A72" s="1" t="s">
        <x:v>238</x:v>
      </x:c>
      <x:c r="B72" s="1" t="s">
        <x:v>239</x:v>
      </x:c>
      <x:c r="C72" s="1" t="str">
        <x:v>Turkmenistan (Turkménistan)</x:v>
      </x:c>
      <x:c r="D72" s="1" t="str">
        <x:v>Asie</x:v>
      </x:c>
      <x:c r="E72" s="1">
        <x:v>10</x:v>
      </x:c>
      <x:c r="F72" s="1">
        <x:v>157.3304</x:v>
      </x:c>
      <x:c r="G72" s="2">
        <x:v>2278876</x:v>
      </x:c>
      <x:c r="H72" s="1">
        <x:v>22788760</x:v>
      </x:c>
      <x:c r="I72" s="4">
        <x:v>207597766.54074159</x:v>
      </x:c>
      <x:c r="J72" s="20">
        <x:f t="shared" si="4"/>
        <x:v>1.319501930591555</x:v>
      </x:c>
      <x:c r="K72" s="5">
        <x:v>1.319501930591555</x:v>
      </x:c>
      <x:c r="L72" s="10">
        <x:v>3.1803137808135946</x:v>
      </x:c>
      <x:c r="M7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72" s="1" t="s">
        <x:v>240</x:v>
      </x:c>
      <x:c r="O72" s="1">
        <x:v>211247247448</x:v>
      </x:c>
      <x:c r="P72" s="1">
        <x:v>45230</x:v>
      </x:c>
      <x:c r="Q72" s="7">
        <x:v>4.6705117720097284</x:v>
      </x:c>
      <x:c r="R72" s="5">
        <x:v>4.6705117720097284</x:v>
      </x:c>
      <x:c r="S72" s="15">
        <x:v>0.56168769753907744</x:v>
      </x:c>
      <x:c r="T72" s="1" t="s">
        <x:v>160</x:v>
      </x:c>
      <x:c r="U72" s="1" t="s">
        <x:v>240</x:v>
      </x:c>
      <x:c r="V72">
        <x:v>0</x:v>
      </x:c>
      <x:c r="X72" s="17">
        <x:f t="shared" si="5"/>
        <x:v>157330400</x:v>
      </x:c>
      <x:c r="Y72" t="str">
        <x:f t="shared" si="6"/>
        <x:v>1 + 0.00 = 1.00</x:v>
      </x:c>
      <x:c r="Z72" t="str">
        <x:f t="shared" si="7"/>
        <x:v>1 + 1.32 = 2.32</x:v>
      </x:c>
    </x:row>
    <x:row r="73">
      <x:c r="A73" s="1" t="s">
        <x:v>241</x:v>
      </x:c>
      <x:c r="B73" s="1" t="s">
        <x:v>242</x:v>
      </x:c>
      <x:c r="C73" s="1" t="str">
        <x:v>Uzbekistan (Ouzbékistan)</x:v>
      </x:c>
      <x:c r="D73" s="1" t="str">
        <x:v>Asie</x:v>
      </x:c>
      <x:c r="E73" s="1">
        <x:v>10</x:v>
      </x:c>
      <x:c r="F73" s="1">
        <x:v>188.7559</x:v>
      </x:c>
      <x:c r="G73" s="2">
        <x:v>13154200</x:v>
      </x:c>
      <x:c r="H73" s="1">
        <x:v>131542000</x:v>
      </x:c>
      <x:c r="I73" s="4">
        <x:v>1198302382.6791029</x:v>
      </x:c>
      <x:c r="J73" s="20">
        <x:f t="shared" si="4"/>
        <x:v>6.3484234542025062</x:v>
      </x:c>
      <x:c r="K73" s="5">
        <x:v>6.3484234542025062</x:v>
      </x:c>
      <x:c r="L73" s="10">
        <x:v>3.1803137808135946</x:v>
      </x:c>
      <x:c r="M73"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73" s="1" t="s">
        <x:v>243</x:v>
      </x:c>
      <x:c r="O73" s="1">
        <x:v>1219368031600</x:v>
      </x:c>
      <x:c r="P73" s="1">
        <x:v>69238.903109999999</x:v>
      </x:c>
      <x:c r="Q73" s="7">
        <x:v>17.611024681641581</x:v>
      </x:c>
      <x:c r="R73" s="5">
        <x:v>17.611024681641581</x:v>
      </x:c>
      <x:c r="S73" s="15">
        <x:v>0.56168769753907744</x:v>
      </x:c>
      <x:c r="T73" s="1" t="s">
        <x:v>160</x:v>
      </x:c>
      <x:c r="U73" s="1" t="s">
        <x:v>243</x:v>
      </x:c>
      <x:c r="V73">
        <x:v>-0.7</x:v>
      </x:c>
      <x:c r="W73" s="17" t="s">
        <x:v>243</x:v>
      </x:c>
      <x:c r="X73" s="17">
        <x:f t="shared" si="5"/>
        <x:v>188755900</x:v>
      </x:c>
      <x:c r="Y73" t="str">
        <x:f t="shared" si="6"/>
        <x:v>1 + 0.00 = 1.00</x:v>
      </x:c>
      <x:c r="Z73" t="str">
        <x:f t="shared" si="7"/>
        <x:v>1 + 6.35 = 7.35</x:v>
      </x:c>
    </x:row>
    <x:row r="74" s="12" customFormat="1">
      <x:c r="A74" s="12" t="s">
        <x:v>244</x:v>
      </x:c>
      <x:c r="B74" s="12" t="s">
        <x:v>245</x:v>
      </x:c>
      <x:c r="C74" s="12" t="str">
        <x:v>China (Chine)</x:v>
      </x:c>
      <x:c r="D74" s="12" t="str">
        <x:v>Chine</x:v>
      </x:c>
      <x:c r="E74" s="12">
        <x:v>15</x:v>
      </x:c>
      <x:c r="F74" s="12">
        <x:v>12705.09</x:v>
      </x:c>
      <x:c r="G74" s="13">
        <x:v>60975738</x:v>
      </x:c>
      <x:c r="H74" s="12">
        <x:v>609757380</x:v>
      </x:c>
      <x:c r="I74" s="13">
        <x:v>7201024962.1114101</x:v>
      </x:c>
      <x:c r="J74" s="20">
        <x:f t="shared" si="4"/>
        <x:v>0.56678268017868505</x:v>
      </x:c>
      <x:c r="K74" s="14">
        <x:v>0.56678268017868505</x:v>
      </x:c>
      <x:c r="L74" s="14">
        <x:v>0.56999999999999995</x:v>
      </x:c>
      <x:c r="M74" s="12" t="str">
        <x:v>Accélérer la transition vers des sources de protéines végétales apporterait des bénéfices considérables à la macroéconomie nationale et à la santé publique, tout en créant des perspectives exceptionnelles pour transformer les terres désertiques en oasis vertes viables.</x:v>
      </x:c>
      <x:c r="N74" s="12" t="s">
        <x:v>246</x:v>
      </x:c>
      <x:c r="O74" s="12">
        <x:v>5652328961124</x:v>
      </x:c>
      <x:c r="P74" s="12">
        <x:v>17734062.649999999</x:v>
      </x:c>
      <x:c r="Q74" s="13">
        <x:v>0.31872724669346986</x:v>
      </x:c>
      <x:c r="R74" s="14">
        <x:v>0.31872724669346986</x:v>
      </x:c>
      <x:c r="S74" s="16">
        <x:v>0.32</x:v>
      </x:c>
      <x:c r="T74" s="12" t="s">
        <x:v>246</x:v>
      </x:c>
      <x:c r="U74" s="12" t="s">
        <x:v>246</x:v>
      </x:c>
      <x:c r="V74">
        <x:v>-836.23</x:v>
      </x:c>
      <x:c r="W74" s="17" t="s">
        <x:v>246</x:v>
      </x:c>
      <x:c r="X74" s="17">
        <x:f t="shared" si="5"/>
        <x:v>12705090000</x:v>
      </x:c>
      <x:c r="Y74" t="str">
        <x:f t="shared" si="6"/>
        <x:v>1 + -0.07 = 0.93</x:v>
      </x:c>
      <x:c r="Z74" t="str">
        <x:f t="shared" si="7"/>
        <x:v>1 + 0.57 = 1.57</x:v>
      </x:c>
    </x:row>
    <x:row r="75" s="2" customFormat="1">
      <x:c r="A75" s="2" t="s">
        <x:v>247</x:v>
      </x:c>
      <x:c r="B75" s="2" t="s">
        <x:v>248</x:v>
      </x:c>
      <x:c r="C75" s="2" t="str">
        <x:v>Austria (Autriche)</x:v>
      </x:c>
      <x:c r="D75" s="2" t="str">
        <x:v>UE</x:v>
      </x:c>
      <x:c r="E75" s="2">
        <x:v>20</x:v>
      </x:c>
      <x:c r="F75" s="2">
        <x:v>76.91789</x:v>
      </x:c>
      <x:c r="G75" s="2">
        <x:v>1855430</x:v>
      </x:c>
      <x:c r="H75" s="2">
        <x:v>18554300</x:v>
      </x:c>
      <x:c r="I75" s="2">
        <x:v>68830072.172407866</x:v>
      </x:c>
      <x:c r="J75" s="20">
        <x:f t="shared" si="4"/>
        <x:v>0.89485127806298204</x:v>
      </x:c>
      <x:c r="K75" s="5">
        <x:v>0.89485127806298204</x:v>
      </x:c>
      <x:c r="L75" s="10">
        <x:v>1.5111780022717671</x:v>
      </x:c>
      <x:c r="M75" s="1" t="str">
        <x:v>Accélérer la transition vers des sources de protéines végétales apporterait des bénéfices considérables à la macroéconomie nationale et à la santé publique, tout en créant des perspectives exceptionnelles pour transformer les terres désertiques en oasis vertes viables.</x:v>
      </x:c>
      <x:c r="N75" s="2" t="s">
        <x:v>249</x:v>
      </x:c>
      <x:c r="O75" s="2">
        <x:v>171994650140</x:v>
      </x:c>
      <x:c r="P75" s="2">
        <x:v>480368.40389999998</x:v>
      </x:c>
      <x:c r="Q75" s="2">
        <x:v>0.35804738351568338</x:v>
      </x:c>
      <x:c r="R75" s="5">
        <x:v>0.35804738351568338</x:v>
      </x:c>
      <x:c r="S75" s="15">
        <x:v>0.41</x:v>
      </x:c>
      <x:c r="T75" s="2" t="s">
        <x:v>250</x:v>
      </x:c>
      <x:c r="U75" s="2" t="s">
        <x:v>249</x:v>
      </x:c>
      <x:c r="V75">
        <x:v>-4.7699999999999996</x:v>
      </x:c>
      <x:c r="W75" s="17" t="s">
        <x:v>249</x:v>
      </x:c>
      <x:c r="X75" s="17">
        <x:f t="shared" si="5"/>
        <x:v>76917890</x:v>
      </x:c>
      <x:c r="Y75" t="str">
        <x:f t="shared" si="6"/>
        <x:v>1 + -0.06 = 0.94</x:v>
      </x:c>
      <x:c r="Z75" t="str">
        <x:f t="shared" si="7"/>
        <x:v>1 + 0.89 = 1.89</x:v>
      </x:c>
      <x:c r="AA75" s="1"/>
      <x:c r="AB75" s="1"/>
      <x:c r="AC75" s="1"/>
      <x:c r="AD75" s="1"/>
      <x:c r="AE75" s="1"/>
    </x:row>
    <x:row r="76">
      <x:c r="A76" s="1" t="s">
        <x:v>251</x:v>
      </x:c>
      <x:c r="B76" s="1" t="s">
        <x:v>252</x:v>
      </x:c>
      <x:c r="C76" s="1" t="str">
        <x:v>Belgium (Belgique)</x:v>
      </x:c>
      <x:c r="D76" s="1" t="str">
        <x:v>UE</x:v>
      </x:c>
      <x:c r="E76" s="1">
        <x:v>20</x:v>
      </x:c>
      <x:c r="F76" s="1">
        <x:v>108.06489999999999</x:v>
      </x:c>
      <x:c r="G76" s="2">
        <x:v>2335440</x:v>
      </x:c>
      <x:c r="H76" s="1">
        <x:v>23354400</x:v>
      </x:c>
      <x:c r="I76" s="4">
        <x:v>149693672.41702908</x:v>
      </x:c>
      <x:c r="J76" s="20">
        <x:f t="shared" si="4"/>
        <x:v>1.3852201077040656</x:v>
      </x:c>
      <x:c r="K76" s="5">
        <x:v>1.3852201077040656</x:v>
      </x:c>
      <x:c r="L76" s="10">
        <x:v>1.5111780022717671</x:v>
      </x:c>
      <x:c r="M76"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76" s="1" t="s">
        <x:v>253</x:v>
      </x:c>
      <x:c r="O76" s="1">
        <x:v>216490617120</x:v>
      </x:c>
      <x:c r="P76" s="1">
        <x:v>594104.17749999999</x:v>
      </x:c>
      <x:c r="Q76" s="7">
        <x:v>0.36439840909888233</x:v>
      </x:c>
      <x:c r="R76" s="5">
        <x:v>0.36439840909888233</x:v>
      </x:c>
      <x:c r="S76" s="15">
        <x:v>0.41</x:v>
      </x:c>
      <x:c r="T76" s="1" t="s">
        <x:v>250</x:v>
      </x:c>
      <x:c r="U76" s="1" t="s">
        <x:v>253</x:v>
      </x:c>
      <x:c r="V76">
        <x:v>3.18</x:v>
      </x:c>
      <x:c r="W76" s="17" t="s">
        <x:v>253</x:v>
      </x:c>
      <x:c r="X76" s="17">
        <x:f t="shared" si="5"/>
        <x:v>108064900</x:v>
      </x:c>
      <x:c r="Y76" t="str">
        <x:f t="shared" si="6"/>
        <x:v>1 + 0.03 = 1.03</x:v>
      </x:c>
      <x:c r="Z76" t="str">
        <x:f t="shared" si="7"/>
        <x:v>1 + 1.39 = 2.39</x:v>
      </x:c>
    </x:row>
    <x:row r="77">
      <x:c r="A77" s="1" t="s">
        <x:v>254</x:v>
      </x:c>
      <x:c r="B77" s="1" t="s">
        <x:v>255</x:v>
      </x:c>
      <x:c r="C77" s="1" t="str">
        <x:v>Bulgaria (Bulgarie)</x:v>
      </x:c>
      <x:c r="D77" s="1" t="str">
        <x:v>UE</x:v>
      </x:c>
      <x:c r="E77" s="1">
        <x:v>20</x:v>
      </x:c>
      <x:c r="F77" s="1">
        <x:v>51.283430000000003</x:v>
      </x:c>
      <x:c r="G77" s="2">
        <x:v>588910</x:v>
      </x:c>
      <x:c r="H77" s="1">
        <x:v>5889100</x:v>
      </x:c>
      <x:c r="I77" s="4">
        <x:v>37747105.737296864</x:v>
      </x:c>
      <x:c r="J77" s="20">
        <x:f t="shared" si="4"/>
        <x:v>0.73604877320602125</x:v>
      </x:c>
      <x:c r="K77" s="5">
        <x:v>0.73604877320602125</x:v>
      </x:c>
      <x:c r="L77" s="10">
        <x:v>1.5111780022717671</x:v>
      </x:c>
      <x:c r="M77"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77" s="1" t="s">
        <x:v>256</x:v>
      </x:c>
      <x:c r="O77" s="1">
        <x:v>54590779180</x:v>
      </x:c>
      <x:c r="P77" s="1">
        <x:v>84056.312730000005</x:v>
      </x:c>
      <x:c r="Q77" s="7">
        <x:v>0.64945484053473546</x:v>
      </x:c>
      <x:c r="R77" s="5">
        <x:v>0.64945484053473546</x:v>
      </x:c>
      <x:c r="S77" s="15">
        <x:v>0.41</x:v>
      </x:c>
      <x:c r="T77" s="1" t="s">
        <x:v>250</x:v>
      </x:c>
      <x:c r="U77" s="1" t="s">
        <x:v>256</x:v>
      </x:c>
      <x:c r="V77">
        <x:v>-18.68</x:v>
      </x:c>
      <x:c r="W77" s="17" t="s">
        <x:v>256</x:v>
      </x:c>
      <x:c r="X77" s="17">
        <x:f t="shared" si="5"/>
        <x:v>51283430</x:v>
      </x:c>
      <x:c r="Y77" t="str">
        <x:f t="shared" si="6"/>
        <x:v>1 + -0.36 = 0.64</x:v>
      </x:c>
      <x:c r="Z77" t="str">
        <x:f t="shared" si="7"/>
        <x:v>1 + 0.74 = 1.74</x:v>
      </x:c>
    </x:row>
    <x:row r="78">
      <x:c r="A78" s="1" t="s">
        <x:v>257</x:v>
      </x:c>
      <x:c r="B78" s="1" t="s">
        <x:v>258</x:v>
      </x:c>
      <x:c r="C78" s="1" t="str">
        <x:v>Croatia (Croatie)</x:v>
      </x:c>
      <x:c r="D78" s="1" t="str">
        <x:v>UE</x:v>
      </x:c>
      <x:c r="E78" s="1">
        <x:v>10</x:v>
      </x:c>
      <x:c r="F78" s="1">
        <x:v>22.257680000000001</x:v>
      </x:c>
      <x:c r="G78" s="2">
        <x:v>423000</x:v>
      </x:c>
      <x:c r="H78" s="1">
        <x:v>4230000</x:v>
      </x:c>
      <x:c r="I78" s="4">
        <x:v>27112845.302128635</x:v>
      </x:c>
      <x:c r="J78" s="20">
        <x:f t="shared" si="4"/>
        <x:v>1.2181343833736775</x:v>
      </x:c>
      <x:c r="K78" s="5">
        <x:v>1.2181343833736775</x:v>
      </x:c>
      <x:c r="L78" s="10">
        <x:v>1.5111780022717671</x:v>
      </x:c>
      <x:c r="M78"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78" s="1" t="s">
        <x:v>259</x:v>
      </x:c>
      <x:c r="O78" s="1">
        <x:v>39211254000</x:v>
      </x:c>
      <x:c r="P78" s="1">
        <x:v>68955.083280000006</x:v>
      </x:c>
      <x:c r="Q78" s="7">
        <x:v>0.56864921532729096</x:v>
      </x:c>
      <x:c r="R78" s="5">
        <x:v>0.56864921532729096</x:v>
      </x:c>
      <x:c r="S78" s="15">
        <x:v>0.41</x:v>
      </x:c>
      <x:c r="T78" s="1" t="s">
        <x:v>250</x:v>
      </x:c>
      <x:c r="U78" s="1" t="s">
        <x:v>259</x:v>
      </x:c>
      <x:c r="V78">
        <x:v>-4.79</x:v>
      </x:c>
      <x:c r="W78" s="17" t="s">
        <x:v>259</x:v>
      </x:c>
      <x:c r="X78" s="17">
        <x:f t="shared" si="5"/>
        <x:v>22257680</x:v>
      </x:c>
      <x:c r="Y78" t="str">
        <x:f t="shared" si="6"/>
        <x:v>1 + -0.22 = 0.78</x:v>
      </x:c>
      <x:c r="Z78" t="str">
        <x:f t="shared" si="7"/>
        <x:v>1 + 1.22 = 2.22</x:v>
      </x:c>
    </x:row>
    <x:row r="79">
      <x:c r="A79" s="1" t="s">
        <x:v>260</x:v>
      </x:c>
      <x:c r="B79" s="1" t="s">
        <x:v>261</x:v>
      </x:c>
      <x:c r="C79" s="1" t="str">
        <x:v>Cyprus (Chypre)</x:v>
      </x:c>
      <x:c r="D79" s="1" t="str">
        <x:v>UE</x:v>
      </x:c>
      <x:c r="E79" s="1">
        <x:v>10</x:v>
      </x:c>
      <x:c r="F79" s="1">
        <x:v>8.5405230000000003</x:v>
      </x:c>
      <x:c r="G79" s="2">
        <x:v>77500</x:v>
      </x:c>
      <x:c r="H79" s="1">
        <x:v>775000</x:v>
      </x:c>
      <x:c r="I79" s="4">
        <x:v>2874983.4773403527</x:v>
      </x:c>
      <x:c r="J79" s="20">
        <x:f t="shared" si="4"/>
        <x:v>0.33662850358699964</x:v>
      </x:c>
      <x:c r="K79" s="5">
        <x:v>0.33662850358699964</x:v>
      </x:c>
      <x:c r="L79" s="10">
        <x:v>1.5111780022717671</x:v>
      </x:c>
      <x:c r="M79"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79" s="1" t="s">
        <x:v>262</x:v>
      </x:c>
      <x:c r="O79" s="1">
        <x:v>7184095000</x:v>
      </x:c>
      <x:c r="P79" s="1">
        <x:v>28407.86753</x:v>
      </x:c>
      <x:c r="Q79" s="7">
        <x:v>0.25289103423244524</x:v>
      </x:c>
      <x:c r="R79" s="5">
        <x:v>0.25289103423244524</x:v>
      </x:c>
      <x:c r="S79" s="15">
        <x:v>0.41</x:v>
      </x:c>
      <x:c r="T79" s="1" t="s">
        <x:v>250</x:v>
      </x:c>
      <x:c r="U79" s="1" t="s">
        <x:v>262</x:v>
      </x:c>
      <x:c r="V79">
        <x:v>-0.24</x:v>
      </x:c>
      <x:c r="W79" s="17" t="s">
        <x:v>262</x:v>
      </x:c>
      <x:c r="X79" s="17">
        <x:f t="shared" si="5"/>
        <x:v>8540523</x:v>
      </x:c>
      <x:c r="Y79" t="str">
        <x:f t="shared" si="6"/>
        <x:v>1 + -0.03 = 0.97</x:v>
      </x:c>
      <x:c r="Z79" t="str">
        <x:f t="shared" si="7"/>
        <x:v>1 + 0.34 = 1.34</x:v>
      </x:c>
    </x:row>
    <x:row r="80">
      <x:c r="A80" s="1" t="s">
        <x:v>263</x:v>
      </x:c>
      <x:c r="B80" s="1" t="s">
        <x:v>264</x:v>
      </x:c>
      <x:c r="C80" s="1" t="str">
        <x:v>Czech Republic (République tchèque)</x:v>
      </x:c>
      <x:c r="D80" s="1" t="str">
        <x:v>UE</x:v>
      </x:c>
      <x:c r="E80" s="1">
        <x:v>10</x:v>
      </x:c>
      <x:c r="F80" s="1">
        <x:v>116.5909</x:v>
      </x:c>
      <x:c r="G80" s="2">
        <x:v>1340040</x:v>
      </x:c>
      <x:c r="H80" s="1">
        <x:v>13400400</x:v>
      </x:c>
      <x:c r="I80" s="4">
        <x:v>49710875.599679559</x:v>
      </x:c>
      <x:c r="J80" s="20">
        <x:f t="shared" si="4"/>
        <x:v>0.42637011636139321</x:v>
      </x:c>
      <x:c r="K80" s="5">
        <x:v>0.42637011636139321</x:v>
      </x:c>
      <x:c r="L80" s="10">
        <x:v>1.5111780022717671</x:v>
      </x:c>
      <x:c r="M80"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80" s="1" t="s">
        <x:v>265</x:v>
      </x:c>
      <x:c r="O80" s="1">
        <x:v>124219027920</x:v>
      </x:c>
      <x:c r="P80" s="1">
        <x:v>281777.88709999999</x:v>
      </x:c>
      <x:c r="Q80" s="7">
        <x:v>0.44084022773552839</x:v>
      </x:c>
      <x:c r="R80" s="5">
        <x:v>0.44084022773552839</x:v>
      </x:c>
      <x:c r="S80" s="15">
        <x:v>0.41</x:v>
      </x:c>
      <x:c r="T80" s="1" t="s">
        <x:v>250</x:v>
      </x:c>
      <x:c r="U80" s="1" t="s">
        <x:v>265</x:v>
      </x:c>
      <x:c r="V80">
        <x:v>-2.23</x:v>
      </x:c>
      <x:c r="W80" s="17" t="s">
        <x:v>265</x:v>
      </x:c>
      <x:c r="X80" s="17">
        <x:f t="shared" si="5"/>
        <x:v>116590900</x:v>
      </x:c>
      <x:c r="Y80" t="str">
        <x:f t="shared" si="6"/>
        <x:v>1 + -0.02 = 0.98</x:v>
      </x:c>
      <x:c r="Z80" t="str">
        <x:f t="shared" si="7"/>
        <x:v>1 + 0.43 = 1.43</x:v>
      </x:c>
    </x:row>
    <x:row r="81">
      <x:c r="A81" s="1" t="s">
        <x:v>266</x:v>
      </x:c>
      <x:c r="B81" s="1" t="s">
        <x:v>267</x:v>
      </x:c>
      <x:c r="C81" s="1" t="str">
        <x:v>Denmark (Danemark)</x:v>
      </x:c>
      <x:c r="D81" s="1" t="str">
        <x:v>UE</x:v>
      </x:c>
      <x:c r="E81" s="1">
        <x:v>10</x:v>
      </x:c>
      <x:c r="F81" s="1">
        <x:v>43.200040000000001</x:v>
      </x:c>
      <x:c r="G81" s="2">
        <x:v>1267642</x:v>
      </x:c>
      <x:c r="H81" s="1">
        <x:v>12676420</x:v>
      </x:c>
      <x:c r="I81" s="4">
        <x:v>81251492.776550695</x:v>
      </x:c>
      <x:c r="J81" s="20">
        <x:f t="shared" si="4"/>
        <x:v>1.880819850549923</x:v>
      </x:c>
      <x:c r="K81" s="5">
        <x:v>1.880819850549923</x:v>
      </x:c>
      <x:c r="L81" s="10">
        <x:v>1.5111780022717671</x:v>
      </x:c>
      <x:c r="M8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81" s="1" t="s">
        <x:v>268</x:v>
      </x:c>
      <x:c r="O81" s="1">
        <x:v>117507878116</x:v>
      </x:c>
      <x:c r="P81" s="1">
        <x:v>398303.27279999998</x:v>
      </x:c>
      <x:c r="Q81" s="7">
        <x:v>0.29502112119225349</x:v>
      </x:c>
      <x:c r="R81" s="5">
        <x:v>0.29502112119225349</x:v>
      </x:c>
      <x:c r="S81" s="15">
        <x:v>0.41</x:v>
      </x:c>
      <x:c r="T81" s="1" t="s">
        <x:v>250</x:v>
      </x:c>
      <x:c r="U81" s="1" t="s">
        <x:v>268</x:v>
      </x:c>
      <x:c r="V81">
        <x:v>1.84</x:v>
      </x:c>
      <x:c r="W81" s="17" t="s">
        <x:v>268</x:v>
      </x:c>
      <x:c r="X81" s="17">
        <x:f t="shared" si="5"/>
        <x:v>43200040</x:v>
      </x:c>
      <x:c r="Y81" t="str">
        <x:f t="shared" si="6"/>
        <x:v>1 + 0.04 = 1.04</x:v>
      </x:c>
      <x:c r="Z81" t="str">
        <x:f t="shared" si="7"/>
        <x:v>1 + 1.88 = 2.88</x:v>
      </x:c>
    </x:row>
    <x:row r="82">
      <x:c r="A82" s="1" t="s">
        <x:v>269</x:v>
      </x:c>
      <x:c r="B82" s="1" t="s">
        <x:v>270</x:v>
      </x:c>
      <x:c r="C82" s="1" t="str">
        <x:v>Estonia (Estonie)</x:v>
      </x:c>
      <x:c r="D82" s="1" t="str">
        <x:v>UE</x:v>
      </x:c>
      <x:c r="E82" s="1">
        <x:v>10</x:v>
      </x:c>
      <x:c r="F82" s="1">
        <x:v>12.87396</x:v>
      </x:c>
      <x:c r="G82" s="2">
        <x:v>253300</x:v>
      </x:c>
      <x:c r="H82" s="1">
        <x:v>2533000</x:v>
      </x:c>
      <x:c r="I82" s="4">
        <x:v>16235658.90077821</x:v>
      </x:c>
      <x:c r="J82" s="20">
        <x:f t="shared" si="4"/>
        <x:v>1.2611239199732025</x:v>
      </x:c>
      <x:c r="K82" s="5">
        <x:v>1.2611239199732025</x:v>
      </x:c>
      <x:c r="L82" s="10">
        <x:v>1.5111780022717671</x:v>
      </x:c>
      <x:c r="M8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82" s="1" t="s">
        <x:v>271</x:v>
      </x:c>
      <x:c r="O82" s="1">
        <x:v>23480403400</x:v>
      </x:c>
      <x:c r="P82" s="1">
        <x:v>37191.166149999997</x:v>
      </x:c>
      <x:c r="Q82" s="7">
        <x:v>0.6313435643641413</x:v>
      </x:c>
      <x:c r="R82" s="5">
        <x:v>0.6313435643641413</x:v>
      </x:c>
      <x:c r="S82" s="15">
        <x:v>0.41</x:v>
      </x:c>
      <x:c r="T82" s="1" t="s">
        <x:v>250</x:v>
      </x:c>
      <x:c r="U82" s="1" t="s">
        <x:v>271</x:v>
      </x:c>
      <x:c r="V82">
        <x:v>8.7100000000000009</x:v>
      </x:c>
      <x:c r="W82" s="17" t="s">
        <x:v>271</x:v>
      </x:c>
      <x:c r="X82" s="17">
        <x:f t="shared" si="5"/>
        <x:v>12873960</x:v>
      </x:c>
      <x:c r="Y82" t="str">
        <x:f t="shared" si="6"/>
        <x:v>1 + 0.68 = 1.68</x:v>
      </x:c>
      <x:c r="Z82" t="str">
        <x:f t="shared" si="7"/>
        <x:v>1 + 1.26 = 2.26</x:v>
      </x:c>
    </x:row>
    <x:row r="83">
      <x:c r="A83" s="1" t="s">
        <x:v>272</x:v>
      </x:c>
      <x:c r="B83" s="1" t="s">
        <x:v>273</x:v>
      </x:c>
      <x:c r="C83" s="1" t="str">
        <x:v>Finland (Finlande)</x:v>
      </x:c>
      <x:c r="D83" s="1" t="str">
        <x:v>UE</x:v>
      </x:c>
      <x:c r="E83" s="1">
        <x:v>10</x:v>
      </x:c>
      <x:c r="F83" s="1">
        <x:v>51.478639999999999</x:v>
      </x:c>
      <x:c r="G83" s="2">
        <x:v>835380</x:v>
      </x:c>
      <x:c r="H83" s="1">
        <x:v>8353800</x:v>
      </x:c>
      <x:c r="I83" s="4">
        <x:v>30989725.126459144</x:v>
      </x:c>
      <x:c r="J83" s="20">
        <x:f t="shared" si="4"/>
        <x:v>0.60199191599582169</x:v>
      </x:c>
      <x:c r="K83" s="5">
        <x:v>0.60199191599582169</x:v>
      </x:c>
      <x:c r="L83" s="10">
        <x:v>1.5111780022717671</x:v>
      </x:c>
      <x:c r="M83"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83" s="1" t="s">
        <x:v>274</x:v>
      </x:c>
      <x:c r="O83" s="1">
        <x:v>77438055240</x:v>
      </x:c>
      <x:c r="P83" s="1">
        <x:v>297301.8835</x:v>
      </x:c>
      <x:c r="Q83" s="7">
        <x:v>0.26046944045008041</x:v>
      </x:c>
      <x:c r="R83" s="5">
        <x:v>0.26046944045008041</x:v>
      </x:c>
      <x:c r="S83" s="15">
        <x:v>0.41</x:v>
      </x:c>
      <x:c r="T83" s="1" t="s">
        <x:v>250</x:v>
      </x:c>
      <x:c r="U83" s="1" t="s">
        <x:v>274</x:v>
      </x:c>
      <x:c r="V83">
        <x:v>-4.33</x:v>
      </x:c>
      <x:c r="W83" s="17" t="s">
        <x:v>274</x:v>
      </x:c>
      <x:c r="X83" s="17">
        <x:f t="shared" si="5"/>
        <x:v>51478640</x:v>
      </x:c>
      <x:c r="Y83" t="str">
        <x:f t="shared" si="6"/>
        <x:v>1 + -0.08 = 0.92</x:v>
      </x:c>
      <x:c r="Z83" t="str">
        <x:f t="shared" si="7"/>
        <x:v>1 + 0.60 = 1.60</x:v>
      </x:c>
    </x:row>
    <x:row r="84">
      <x:c r="A84" s="1" t="s">
        <x:v>275</x:v>
      </x:c>
      <x:c r="B84" s="1" t="s">
        <x:v>276</x:v>
      </x:c>
      <x:c r="C84" s="1" t="str">
        <x:v>France (France)</x:v>
      </x:c>
      <x:c r="D84" s="1" t="str">
        <x:v>UE</x:v>
      </x:c>
      <x:c r="E84" s="1">
        <x:v>10</x:v>
      </x:c>
      <x:c r="F84" s="1">
        <x:v>414.036</x:v>
      </x:c>
      <x:c r="G84" s="2">
        <x:v>17789250</x:v>
      </x:c>
      <x:c r="H84" s="1">
        <x:v>177892500</x:v>
      </x:c>
      <x:c r="I84" s="4">
        <x:v>1140229747.732605</x:v>
      </x:c>
      <x:c r="J84" s="20">
        <x:f t="shared" si="4"/>
        <x:v>2.7539386616927151</x:v>
      </x:c>
      <x:c r="K84" s="5">
        <x:v>2.7539386616927151</x:v>
      </x:c>
      <x:c r="L84" s="10">
        <x:v>1.5111780022717671</x:v>
      </x:c>
      <x:c r="M84"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84" s="1" t="s">
        <x:v>277</x:v>
      </x:c>
      <x:c r="O84" s="1">
        <x:v>1649027896500</x:v>
      </x:c>
      <x:c r="P84" s="1">
        <x:v>2957879.7590000001</x:v>
      </x:c>
      <x:c r="Q84" s="7">
        <x:v>0.55750335742434076</x:v>
      </x:c>
      <x:c r="R84" s="5">
        <x:v>0.55750335742434076</x:v>
      </x:c>
      <x:c r="S84" s="15">
        <x:v>0.41</x:v>
      </x:c>
      <x:c r="T84" s="1" t="s">
        <x:v>250</x:v>
      </x:c>
      <x:c r="U84" s="1" t="s">
        <x:v>277</x:v>
      </x:c>
      <x:c r="V84">
        <x:v>-26.14</x:v>
      </x:c>
      <x:c r="W84" s="17" t="s">
        <x:v>277</x:v>
      </x:c>
      <x:c r="X84" s="17">
        <x:f t="shared" si="5"/>
        <x:v>414036000</x:v>
      </x:c>
      <x:c r="Y84" t="str">
        <x:f t="shared" si="6"/>
        <x:v>1 + -0.06 = 0.94</x:v>
      </x:c>
      <x:c r="Z84" t="str">
        <x:f t="shared" si="7"/>
        <x:v>1 + 2.75 = 3.75</x:v>
      </x:c>
    </x:row>
    <x:row r="85">
      <x:c r="A85" s="1" t="s">
        <x:v>278</x:v>
      </x:c>
      <x:c r="B85" s="1" t="s">
        <x:v>279</x:v>
      </x:c>
      <x:c r="C85" s="1" t="str">
        <x:v>Germany (Allemagne)</x:v>
      </x:c>
      <x:c r="D85" s="1" t="str">
        <x:v>UE</x:v>
      </x:c>
      <x:c r="E85" s="1">
        <x:v>10</x:v>
      </x:c>
      <x:c r="F85" s="1">
        <x:v>749.70870000000002</x:v>
      </x:c>
      <x:c r="G85" s="2">
        <x:v>11301860</x:v>
      </x:c>
      <x:c r="H85" s="1">
        <x:v>113018600</x:v>
      </x:c>
      <x:c r="I85" s="4">
        <x:v>1029560578.8801787</x:v>
      </x:c>
      <x:c r="J85" s="20">
        <x:f t="shared" si="4"/>
        <x:v>1.373280820777695</x:v>
      </x:c>
      <x:c r="K85" s="5">
        <x:v>1.373280820777695</x:v>
      </x:c>
      <x:c r="L85" s="10">
        <x:v>1.5111780022717671</x:v>
      </x:c>
      <x:c r="M85"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85" s="1" t="s">
        <x:v>280</x:v>
      </x:c>
      <x:c r="O85" s="1">
        <x:v>1047659818280</x:v>
      </x:c>
      <x:c r="P85" s="1">
        <x:v>4259934.9119999995</x:v>
      </x:c>
      <x:c r="Q85" s="7">
        <x:v>0.24593329239111156</x:v>
      </x:c>
      <x:c r="R85" s="5">
        <x:v>0.24593329239111156</x:v>
      </x:c>
      <x:c r="S85" s="15">
        <x:v>0.41</x:v>
      </x:c>
      <x:c r="T85" s="1" t="s">
        <x:v>250</x:v>
      </x:c>
      <x:c r="U85" s="1" t="s">
        <x:v>280</x:v>
      </x:c>
      <x:c r="V85">
        <x:v>27.6</x:v>
      </x:c>
      <x:c r="W85" s="17" t="s">
        <x:v>280</x:v>
      </x:c>
      <x:c r="X85" s="17">
        <x:f t="shared" si="5"/>
        <x:v>749708700</x:v>
      </x:c>
      <x:c r="Y85" t="str">
        <x:f t="shared" si="6"/>
        <x:v>1 + 0.04 = 1.04</x:v>
      </x:c>
      <x:c r="Z85" t="str">
        <x:f t="shared" si="7"/>
        <x:v>1 + 1.37 = 2.37</x:v>
      </x:c>
    </x:row>
    <x:row r="86">
      <x:c r="A86" s="1" t="s">
        <x:v>281</x:v>
      </x:c>
      <x:c r="B86" s="1" t="s">
        <x:v>282</x:v>
      </x:c>
      <x:c r="C86" s="1" t="str">
        <x:v>Greece (Grèce)</x:v>
      </x:c>
      <x:c r="D86" s="1" t="str">
        <x:v>UE</x:v>
      </x:c>
      <x:c r="E86" s="1">
        <x:v>20</x:v>
      </x:c>
      <x:c r="F86" s="1">
        <x:v>78.50291</x:v>
      </x:c>
      <x:c r="G86" s="2">
        <x:v>539000</x:v>
      </x:c>
      <x:c r="H86" s="1">
        <x:v>5390000</x:v>
      </x:c>
      <x:c r="I86" s="4">
        <x:v>49101046.377889678</x:v>
      </x:c>
      <x:c r="J86" s="20">
        <x:f t="shared" si="4"/>
        <x:v>0.62546785052795717</x:v>
      </x:c>
      <x:c r="K86" s="5">
        <x:v>0.62546785052795717</x:v>
      </x:c>
      <x:c r="L86" s="10">
        <x:v>1.5111780022717671</x:v>
      </x:c>
      <x:c r="M86"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86" s="1" t="s">
        <x:v>283</x:v>
      </x:c>
      <x:c r="O86" s="1">
        <x:v>49964222000</x:v>
      </x:c>
      <x:c r="P86" s="1">
        <x:v>214873.8798</x:v>
      </x:c>
      <x:c r="Q86" s="7">
        <x:v>0.23252813253293339</x:v>
      </x:c>
      <x:c r="R86" s="5">
        <x:v>0.23252813253293339</x:v>
      </x:c>
      <x:c r="S86" s="15">
        <x:v>0.41</x:v>
      </x:c>
      <x:c r="T86" s="1" t="s">
        <x:v>250</x:v>
      </x:c>
      <x:c r="U86" s="1" t="s">
        <x:v>283</x:v>
      </x:c>
      <x:c r="V86">
        <x:v>-8.4</x:v>
      </x:c>
      <x:c r="W86" s="17" t="s">
        <x:v>283</x:v>
      </x:c>
      <x:c r="X86" s="17">
        <x:f t="shared" si="5"/>
        <x:v>78502910</x:v>
      </x:c>
      <x:c r="Y86" t="str">
        <x:f t="shared" si="6"/>
        <x:v>1 + -0.11 = 0.89</x:v>
      </x:c>
      <x:c r="Z86" t="str">
        <x:f t="shared" si="7"/>
        <x:v>1 + 0.63 = 1.63</x:v>
      </x:c>
    </x:row>
    <x:row r="87">
      <x:c r="A87" s="1" t="s">
        <x:v>284</x:v>
      </x:c>
      <x:c r="B87" s="1" t="s">
        <x:v>285</x:v>
      </x:c>
      <x:c r="C87" s="1" t="str">
        <x:v>Hungary (Hongrie)</x:v>
      </x:c>
      <x:c r="D87" s="1" t="str">
        <x:v>UE</x:v>
      </x:c>
      <x:c r="E87" s="1">
        <x:v>10</x:v>
      </x:c>
      <x:c r="F87" s="1">
        <x:v>60.586460000000002</x:v>
      </x:c>
      <x:c r="G87" s="2">
        <x:v>933000</x:v>
      </x:c>
      <x:c r="H87" s="1">
        <x:v>9330000</x:v>
      </x:c>
      <x:c r="I87" s="4">
        <x:v>34611091.411078051</x:v>
      </x:c>
      <x:c r="J87" s="20">
        <x:f t="shared" si="4"/>
        <x:v>0.57126776198969287</x:v>
      </x:c>
      <x:c r="K87" s="5">
        <x:v>0.57126776198969287</x:v>
      </x:c>
      <x:c r="L87" s="10">
        <x:v>1.5111780022717671</x:v>
      </x:c>
      <x:c r="M87"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87" s="1" t="s">
        <x:v>286</x:v>
      </x:c>
      <x:c r="O87" s="1">
        <x:v>86487234000</x:v>
      </x:c>
      <x:c r="P87" s="1">
        <x:v>181848.02220000001</x:v>
      </x:c>
      <x:c r="Q87" s="7">
        <x:v>0.47560173024526853</x:v>
      </x:c>
      <x:c r="R87" s="5">
        <x:v>0.47560173024526853</x:v>
      </x:c>
      <x:c r="S87" s="15">
        <x:v>0.41</x:v>
      </x:c>
      <x:c r="T87" s="1" t="s">
        <x:v>250</x:v>
      </x:c>
      <x:c r="U87" s="1" t="s">
        <x:v>286</x:v>
      </x:c>
      <x:c r="V87">
        <x:v>0.81</x:v>
      </x:c>
      <x:c r="W87" s="17" t="s">
        <x:v>286</x:v>
      </x:c>
      <x:c r="X87" s="17">
        <x:f t="shared" si="5"/>
        <x:v>60586460</x:v>
      </x:c>
      <x:c r="Y87" t="str">
        <x:f t="shared" si="6"/>
        <x:v>1 + 0.01 = 1.01</x:v>
      </x:c>
      <x:c r="Z87" t="str">
        <x:f t="shared" si="7"/>
        <x:v>1 + 0.57 = 1.57</x:v>
      </x:c>
    </x:row>
    <x:row r="88">
      <x:c r="A88" s="1" t="s">
        <x:v>287</x:v>
      </x:c>
      <x:c r="B88" s="1" t="s">
        <x:v>288</x:v>
      </x:c>
      <x:c r="C88" s="1" t="str">
        <x:v>Ireland (Irlande)</x:v>
      </x:c>
      <x:c r="D88" s="1" t="str">
        <x:v>UE</x:v>
      </x:c>
      <x:c r="E88" s="1">
        <x:v>10</x:v>
      </x:c>
      <x:c r="F88" s="1">
        <x:v>61.475619999999999</x:v>
      </x:c>
      <x:c r="G88" s="2">
        <x:v>6529440</x:v>
      </x:c>
      <x:c r="H88" s="1">
        <x:v>65294400</x:v>
      </x:c>
      <x:c r="I88" s="4">
        <x:v>242219769.24238956</x:v>
      </x:c>
      <x:c r="J88" s="20">
        <x:f t="shared" si="4"/>
        <x:v>3.9400947764721943</x:v>
      </x:c>
      <x:c r="K88" s="5">
        <x:v>3.9400947764721943</x:v>
      </x:c>
      <x:c r="L88" s="10">
        <x:v>1.5111780022717671</x:v>
      </x:c>
      <x:c r="M88"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88" s="1" t="s">
        <x:v>289</x:v>
      </x:c>
      <x:c r="O88" s="1">
        <x:v>605266029120</x:v>
      </x:c>
      <x:c r="P88" s="1">
        <x:v>504182.60330000002</x:v>
      </x:c>
      <x:c r="Q88" s="7">
        <x:v>1.200489713763196</x:v>
      </x:c>
      <x:c r="R88" s="5">
        <x:v>1.200489713763196</x:v>
      </x:c>
      <x:c r="S88" s="15">
        <x:v>0.41</x:v>
      </x:c>
      <x:c r="T88" s="1" t="s">
        <x:v>250</x:v>
      </x:c>
      <x:c r="U88" s="1" t="s">
        <x:v>289</x:v>
      </x:c>
      <x:c r="V88">
        <x:v>6.48</x:v>
      </x:c>
      <x:c r="W88" s="17" t="s">
        <x:v>289</x:v>
      </x:c>
      <x:c r="X88" s="17">
        <x:f t="shared" si="5"/>
        <x:v>61475620</x:v>
      </x:c>
      <x:c r="Y88" t="str">
        <x:f t="shared" si="6"/>
        <x:v>1 + 0.11 = 1.11</x:v>
      </x:c>
      <x:c r="Z88" t="str">
        <x:f t="shared" si="7"/>
        <x:v>1 + 3.94 = 4.94</x:v>
      </x:c>
    </x:row>
    <x:row r="89">
      <x:c r="A89" s="1" t="s">
        <x:v>290</x:v>
      </x:c>
      <x:c r="B89" s="1" t="s">
        <x:v>291</x:v>
      </x:c>
      <x:c r="C89" s="1" t="str">
        <x:v>Italy (Italie)</x:v>
      </x:c>
      <x:c r="D89" s="1" t="str">
        <x:v>UE</x:v>
      </x:c>
      <x:c r="E89" s="1">
        <x:v>20</x:v>
      </x:c>
      <x:c r="F89" s="1">
        <x:v>389.00380000000001</x:v>
      </x:c>
      <x:c r="G89" s="2">
        <x:v>6400040</x:v>
      </x:c>
      <x:c r="H89" s="1">
        <x:v>64000400</x:v>
      </x:c>
      <x:c r="I89" s="4">
        <x:v>755822714.24925613</x:v>
      </x:c>
      <x:c r="J89" s="20">
        <x:f t="shared" si="4"/>
        <x:v>1.9429700024762127</x:v>
      </x:c>
      <x:c r="K89" s="5">
        <x:v>1.9429700024762127</x:v>
      </x:c>
      <x:c r="L89" s="10">
        <x:v>1.5111780022717671</x:v>
      </x:c>
      <x:c r="M89"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89" s="1" t="s">
        <x:v>292</x:v>
      </x:c>
      <x:c r="O89" s="1">
        <x:v>593270907920</x:v>
      </x:c>
      <x:c r="P89" s="1">
        <x:v>2107702.8429999999</x:v>
      </x:c>
      <x:c r="Q89" s="7">
        <x:v>0.28147749095198238</x:v>
      </x:c>
      <x:c r="R89" s="5">
        <x:v>0.28147749095198238</x:v>
      </x:c>
      <x:c r="S89" s="15">
        <x:v>0.41</x:v>
      </x:c>
      <x:c r="T89" s="1" t="s">
        <x:v>250</x:v>
      </x:c>
      <x:c r="U89" s="1" t="s">
        <x:v>292</x:v>
      </x:c>
      <x:c r="V89">
        <x:v>-22.2</x:v>
      </x:c>
      <x:c r="W89" s="17" t="s">
        <x:v>292</x:v>
      </x:c>
      <x:c r="X89" s="17">
        <x:f t="shared" si="5"/>
        <x:v>389003800</x:v>
      </x:c>
      <x:c r="Y89" t="str">
        <x:f t="shared" si="6"/>
        <x:v>1 + -0.06 = 0.94</x:v>
      </x:c>
      <x:c r="Z89" t="str">
        <x:f t="shared" si="7"/>
        <x:v>1 + 1.94 = 2.94</x:v>
      </x:c>
    </x:row>
    <x:row r="90">
      <x:c r="A90" s="1" t="s">
        <x:v>293</x:v>
      </x:c>
      <x:c r="B90" s="1" t="s">
        <x:v>294</x:v>
      </x:c>
      <x:c r="C90" s="1" t="str">
        <x:v>Latvia (Lettonie)</x:v>
      </x:c>
      <x:c r="D90" s="1" t="str">
        <x:v>UE</x:v>
      </x:c>
      <x:c r="E90" s="1">
        <x:v>10</x:v>
      </x:c>
      <x:c r="F90" s="1">
        <x:v>11.70476</x:v>
      </x:c>
      <x:c r="G90" s="2">
        <x:v>398990</x:v>
      </x:c>
      <x:c r="H90" s="1">
        <x:v>3989900</x:v>
      </x:c>
      <x:c r="I90" s="4">
        <x:v>36346616.872568101</x:v>
      </x:c>
      <x:c r="J90" s="20">
        <x:f t="shared" si="4"/>
        <x:v>3.1052851038866325</x:v>
      </x:c>
      <x:c r="K90" s="5">
        <x:v>3.1052851038866325</x:v>
      </x:c>
      <x:c r="L90" s="10">
        <x:v>1.5111780022717671</x:v>
      </x:c>
      <x:c r="M90"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90" s="1" t="s">
        <x:v>295</x:v>
      </x:c>
      <x:c r="O90" s="1">
        <x:v>36985575020</x:v>
      </x:c>
      <x:c r="P90" s="1">
        <x:v>39853.501579999996</x:v>
      </x:c>
      <x:c r="Q90" s="7">
        <x:v>0.92803827903947</x:v>
      </x:c>
      <x:c r="R90" s="5">
        <x:v>0.92803827903947</x:v>
      </x:c>
      <x:c r="S90" s="15">
        <x:v>0.41</x:v>
      </x:c>
      <x:c r="T90" s="1" t="s">
        <x:v>250</x:v>
      </x:c>
      <x:c r="U90" s="1" t="s">
        <x:v>295</x:v>
      </x:c>
      <x:c r="V90">
        <x:v>-1.92</x:v>
      </x:c>
      <x:c r="W90" s="17" t="s">
        <x:v>295</x:v>
      </x:c>
      <x:c r="X90" s="17">
        <x:f t="shared" si="5"/>
        <x:v>11704760</x:v>
      </x:c>
      <x:c r="Y90" t="str">
        <x:f t="shared" si="6"/>
        <x:v>1 + -0.16 = 0.84</x:v>
      </x:c>
      <x:c r="Z90" t="str">
        <x:f t="shared" si="7"/>
        <x:v>1 + 3.11 = 4.11</x:v>
      </x:c>
    </x:row>
    <x:row r="91">
      <x:c r="A91" s="1" t="s">
        <x:v>296</x:v>
      </x:c>
      <x:c r="B91" s="1" t="s">
        <x:v>297</x:v>
      </x:c>
      <x:c r="C91" s="1" t="str">
        <x:v>Lithuania (Lituanie)</x:v>
      </x:c>
      <x:c r="D91" s="1" t="str">
        <x:v>UE</x:v>
      </x:c>
      <x:c r="E91" s="1">
        <x:v>10</x:v>
      </x:c>
      <x:c r="F91" s="1">
        <x:v>18.93441</x:v>
      </x:c>
      <x:c r="G91" s="2">
        <x:v>629500</x:v>
      </x:c>
      <x:c r="H91" s="1">
        <x:v>6295000</x:v>
      </x:c>
      <x:c r="I91" s="4">
        <x:v>23352285.14820325</x:v>
      </x:c>
      <x:c r="J91" s="20">
        <x:f t="shared" si="4"/>
        <x:v>1.2333252078202199</x:v>
      </x:c>
      <x:c r="K91" s="5">
        <x:v>1.2333252078202199</x:v>
      </x:c>
      <x:c r="L91" s="10">
        <x:v>1.5111780022717671</x:v>
      </x:c>
      <x:c r="M9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91" s="1" t="s">
        <x:v>298</x:v>
      </x:c>
      <x:c r="O91" s="1">
        <x:v>58353391000</x:v>
      </x:c>
      <x:c r="P91" s="1">
        <x:v>66445.256590000005</x:v>
      </x:c>
      <x:c r="Q91" s="7">
        <x:v>0.87821755825354386</x:v>
      </x:c>
      <x:c r="R91" s="5">
        <x:v>0.87821755825354386</x:v>
      </x:c>
      <x:c r="S91" s="15">
        <x:v>0.41</x:v>
      </x:c>
      <x:c r="T91" s="1" t="s">
        <x:v>250</x:v>
      </x:c>
      <x:c r="U91" s="1" t="s">
        <x:v>298</x:v>
      </x:c>
      <x:c r="V91">
        <x:v>2.4700000000000002</x:v>
      </x:c>
      <x:c r="W91" s="17" t="s">
        <x:v>298</x:v>
      </x:c>
      <x:c r="X91" s="17">
        <x:f t="shared" si="5"/>
        <x:v>18934410</x:v>
      </x:c>
      <x:c r="Y91" t="str">
        <x:f t="shared" si="6"/>
        <x:v>1 + 0.13 = 1.13</x:v>
      </x:c>
      <x:c r="Z91" t="str">
        <x:f t="shared" si="7"/>
        <x:v>1 + 1.23 = 2.23</x:v>
      </x:c>
    </x:row>
    <x:row r="92">
      <x:c r="A92" s="1" t="s">
        <x:v>299</x:v>
      </x:c>
      <x:c r="B92" s="1" t="s">
        <x:v>300</x:v>
      </x:c>
      <x:c r="C92" s="1" t="str">
        <x:v>Luxembourg (Luxembourg)</x:v>
      </x:c>
      <x:c r="D92" s="1" t="str">
        <x:v>UE</x:v>
      </x:c>
      <x:c r="E92" s="1">
        <x:v>10</x:v>
      </x:c>
      <x:c r="F92" s="1">
        <x:v>10.481210000000001</x:v>
      </x:c>
      <x:c r="G92" s="2">
        <x:v>190690</x:v>
      </x:c>
      <x:c r="H92" s="1">
        <x:v>1906900</x:v>
      </x:c>
      <x:c r="I92" s="4">
        <x:v>17371203.216697186</x:v>
      </x:c>
      <x:c r="J92" s="20">
        <x:f t="shared" si="4"/>
        <x:v>1.6573662026328244</x:v>
      </x:c>
      <x:c r="K92" s="5">
        <x:v>1.6573662026328244</x:v>
      </x:c>
      <x:c r="L92" s="10">
        <x:v>1.5111780022717671</x:v>
      </x:c>
      <x:c r="M9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92" s="1" t="s">
        <x:v>301</x:v>
      </x:c>
      <x:c r="O92" s="1">
        <x:v>17676581620</x:v>
      </x:c>
      <x:c r="P92" s="1">
        <x:v>85506.243830000007</x:v>
      </x:c>
      <x:c r="Q92" s="7">
        <x:v>0.20672854786071357</x:v>
      </x:c>
      <x:c r="R92" s="5">
        <x:v>0.20672854786071357</x:v>
      </x:c>
      <x:c r="S92" s="15">
        <x:v>0.41</x:v>
      </x:c>
      <x:c r="T92" s="1" t="s">
        <x:v>250</x:v>
      </x:c>
      <x:c r="U92" s="1" t="s">
        <x:v>301</x:v>
      </x:c>
      <x:c r="V92">
        <x:v>-0.27</x:v>
      </x:c>
      <x:c r="W92" s="17" t="s">
        <x:v>301</x:v>
      </x:c>
      <x:c r="X92" s="17">
        <x:f t="shared" si="5"/>
        <x:v>10481210</x:v>
      </x:c>
      <x:c r="Y92" t="str">
        <x:f t="shared" si="6"/>
        <x:v>1 + -0.03 = 0.97</x:v>
      </x:c>
      <x:c r="Z92" t="str">
        <x:f t="shared" si="7"/>
        <x:v>1 + 1.66 = 2.66</x:v>
      </x:c>
    </x:row>
    <x:row r="93">
      <x:c r="A93" s="1" t="s">
        <x:v>302</x:v>
      </x:c>
      <x:c r="B93" s="1" t="s">
        <x:v>303</x:v>
      </x:c>
      <x:c r="C93" s="1" t="str">
        <x:v>Malta (Malte)</x:v>
      </x:c>
      <x:c r="D93" s="1" t="str">
        <x:v>UE</x:v>
      </x:c>
      <x:c r="E93" s="1">
        <x:v>10</x:v>
      </x:c>
      <x:c r="F93" s="1">
        <x:v>2.1391300000000002</x:v>
      </x:c>
      <x:c r="G93" s="2">
        <x:v>14010</x:v>
      </x:c>
      <x:c r="H93" s="1">
        <x:v>140100</x:v>
      </x:c>
      <x:c r="I93" s="4">
        <x:v>1276262.8195811398</x:v>
      </x:c>
      <x:c r="J93" s="20">
        <x:f t="shared" si="4"/>
        <x:v>0.59662704911863229</x:v>
      </x:c>
      <x:c r="K93" s="5">
        <x:v>0.59662704911863229</x:v>
      </x:c>
      <x:c r="L93" s="10">
        <x:v>1.5111780022717671</x:v>
      </x:c>
      <x:c r="M93"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93" s="1" t="s">
        <x:v>94</x:v>
      </x:c>
      <x:c r="O93" s="1">
        <x:v>1298698980</x:v>
      </x:c>
      <x:c r="P93" s="1">
        <x:v>17364.04494</x:v>
      </x:c>
      <x:c r="Q93" s="7">
        <x:v>7.4792422185472648E-2</x:v>
      </x:c>
      <x:c r="R93" s="5">
        <x:v>7.4792422185472648E-2</x:v>
      </x:c>
      <x:c r="S93" s="15">
        <x:v>0.41</x:v>
      </x:c>
      <x:c r="T93" s="1" t="s">
        <x:v>250</x:v>
      </x:c>
      <x:c r="U93" s="1" t="s">
        <x:v>94</x:v>
      </x:c>
      <x:c r="V93">
        <x:v>-0.02</x:v>
      </x:c>
      <x:c r="W93" s="17" t="s">
        <x:v>304</x:v>
      </x:c>
      <x:c r="X93" s="17">
        <x:f t="shared" si="5"/>
        <x:v>2139130</x:v>
      </x:c>
      <x:c r="Y93" t="str">
        <x:f t="shared" si="6"/>
        <x:v>1 + -0.01 = 0.99</x:v>
      </x:c>
      <x:c r="Z93" t="str">
        <x:f t="shared" si="7"/>
        <x:v>1 + 0.60 = 1.60</x:v>
      </x:c>
    </x:row>
    <x:row r="94">
      <x:c r="A94" s="1" t="s">
        <x:v>305</x:v>
      </x:c>
      <x:c r="B94" s="1" t="s">
        <x:v>306</x:v>
      </x:c>
      <x:c r="C94" s="1" t="str">
        <x:v>Netherlands (Pays-Bas)</x:v>
      </x:c>
      <x:c r="D94" s="1" t="str">
        <x:v>UE</x:v>
      </x:c>
      <x:c r="E94" s="1">
        <x:v>10</x:v>
      </x:c>
      <x:c r="F94" s="1">
        <x:v>172.2312</x:v>
      </x:c>
      <x:c r="G94" s="2">
        <x:v>3691000</x:v>
      </x:c>
      <x:c r="H94" s="1">
        <x:v>36910000</x:v>
      </x:c>
      <x:c r="I94" s="4">
        <x:v>336237406.64339668</x:v>
      </x:c>
      <x:c r="J94" s="20">
        <x:f t="shared" si="4"/>
        <x:v>1.9522444635083347</x:v>
      </x:c>
      <x:c r="K94" s="5">
        <x:v>1.9522444635083347</x:v>
      </x:c>
      <x:c r="L94" s="10">
        <x:v>1.5111780022717671</x:v>
      </x:c>
      <x:c r="M94"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94" s="1" t="s">
        <x:v>307</x:v>
      </x:c>
      <x:c r="O94" s="1">
        <x:v>342148318000</x:v>
      </x:c>
      <x:c r="P94" s="1">
        <x:v>1012846.7610000001</x:v>
      </x:c>
      <x:c r="Q94" s="7">
        <x:v>0.33780857201161546</x:v>
      </x:c>
      <x:c r="R94" s="5">
        <x:v>0.33780857201161546</x:v>
      </x:c>
      <x:c r="S94" s="15">
        <x:v>0.41</x:v>
      </x:c>
      <x:c r="T94" s="1" t="s">
        <x:v>250</x:v>
      </x:c>
      <x:c r="U94" s="1" t="s">
        <x:v>307</x:v>
      </x:c>
      <x:c r="V94">
        <x:v>1.38</x:v>
      </x:c>
      <x:c r="W94" s="17" t="s">
        <x:v>307</x:v>
      </x:c>
      <x:c r="X94" s="17">
        <x:f t="shared" si="5"/>
        <x:v>172231200</x:v>
      </x:c>
      <x:c r="Y94" t="str">
        <x:f t="shared" si="6"/>
        <x:v>1 + 0.01 = 1.01</x:v>
      </x:c>
      <x:c r="Z94" t="str">
        <x:f t="shared" si="7"/>
        <x:v>1 + 1.95 = 2.95</x:v>
      </x:c>
    </x:row>
    <x:row r="95">
      <x:c r="A95" s="1" t="s">
        <x:v>308</x:v>
      </x:c>
      <x:c r="B95" s="1" t="s">
        <x:v>309</x:v>
      </x:c>
      <x:c r="C95" s="1" t="str">
        <x:v>Poland (Pologne)</x:v>
      </x:c>
      <x:c r="D95" s="1" t="str">
        <x:v>UE</x:v>
      </x:c>
      <x:c r="E95" s="1">
        <x:v>10</x:v>
      </x:c>
      <x:c r="F95" s="1">
        <x:v>353.14019999999999</x:v>
      </x:c>
      <x:c r="G95" s="2">
        <x:v>6278900</x:v>
      </x:c>
      <x:c r="H95" s="1">
        <x:v>62789000</x:v>
      </x:c>
      <x:c r="I95" s="4">
        <x:v>232925596.84996566</x:v>
      </x:c>
      <x:c r="J95" s="20">
        <x:f t="shared" si="4"/>
        <x:v>0.65958391837000052</x:v>
      </x:c>
      <x:c r="K95" s="5">
        <x:v>0.65958391837000052</x:v>
      </x:c>
      <x:c r="L95" s="10">
        <x:v>1.5111780022717671</x:v>
      </x:c>
      <x:c r="M95"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95" s="1" t="s">
        <x:v>310</x:v>
      </x:c>
      <x:c r="O95" s="1">
        <x:v>582041472200</x:v>
      </x:c>
      <x:c r="P95" s="1">
        <x:v>679444.83290000004</x:v>
      </x:c>
      <x:c r="Q95" s="7">
        <x:v>0.85664272361265315</x:v>
      </x:c>
      <x:c r="R95" s="5">
        <x:v>0.85664272361265315</x:v>
      </x:c>
      <x:c r="S95" s="15">
        <x:v>0.41</x:v>
      </x:c>
      <x:c r="T95" s="1" t="s">
        <x:v>250</x:v>
      </x:c>
      <x:c r="U95" s="1" t="s">
        <x:v>310</x:v>
      </x:c>
      <x:c r="V95">
        <x:v>-1.5</x:v>
      </x:c>
      <x:c r="W95" s="17" t="s">
        <x:v>310</x:v>
      </x:c>
      <x:c r="X95" s="17">
        <x:f t="shared" si="5"/>
        <x:v>353140200</x:v>
      </x:c>
      <x:c r="Y95" t="str">
        <x:f t="shared" si="6"/>
        <x:v>1 + 0.00 = 1.00</x:v>
      </x:c>
      <x:c r="Z95" t="str">
        <x:f t="shared" si="7"/>
        <x:v>1 + 0.66 = 1.66</x:v>
      </x:c>
    </x:row>
    <x:row r="96">
      <x:c r="A96" s="1" t="s">
        <x:v>311</x:v>
      </x:c>
      <x:c r="B96" s="1" t="s">
        <x:v>312</x:v>
      </x:c>
      <x:c r="C96" s="1" t="str">
        <x:v>Portugal (Portugal)</x:v>
      </x:c>
      <x:c r="D96" s="1" t="str">
        <x:v>UE</x:v>
      </x:c>
      <x:c r="E96" s="1">
        <x:v>10</x:v>
      </x:c>
      <x:c r="F96" s="1">
        <x:v>61.380969999999998</x:v>
      </x:c>
      <x:c r="G96" s="2">
        <x:v>1691320</x:v>
      </x:c>
      <x:c r="H96" s="1">
        <x:v>16913200</x:v>
      </x:c>
      <x:c r="I96" s="4">
        <x:v>154073435.54703593</x:v>
      </x:c>
      <x:c r="J96" s="20">
        <x:f t="shared" si="4"/>
        <x:v>2.5101173139987187</x:v>
      </x:c>
      <x:c r="K96" s="5">
        <x:v>2.5101173139987187</x:v>
      </x:c>
      <x:c r="L96" s="10">
        <x:v>1.51117800227177</x:v>
      </x:c>
      <x:c r="M96"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96" s="1" t="s">
        <x:v>313</x:v>
      </x:c>
      <x:c r="O96" s="1">
        <x:v>156781981360</x:v>
      </x:c>
      <x:c r="P96" s="1">
        <x:v>253663.1446</x:v>
      </x:c>
      <x:c r="Q96" s="7">
        <x:v>0.61807158311164456</x:v>
      </x:c>
      <x:c r="R96" s="5">
        <x:v>0.61807158311164456</x:v>
      </x:c>
      <x:c r="S96" s="15">
        <x:v>0.41</x:v>
      </x:c>
      <x:c r="T96" s="1" t="s">
        <x:v>250</x:v>
      </x:c>
      <x:c r="U96" s="1" t="s">
        <x:v>313</x:v>
      </x:c>
      <x:c r="V96">
        <x:v>4.4800000000000004</x:v>
      </x:c>
      <x:c r="W96" s="17" t="s">
        <x:v>313</x:v>
      </x:c>
      <x:c r="X96" s="17">
        <x:f t="shared" si="5"/>
        <x:v>61380970</x:v>
      </x:c>
      <x:c r="Y96" t="str">
        <x:f t="shared" si="6"/>
        <x:v>1 + 0.07 = 1.07</x:v>
      </x:c>
      <x:c r="Z96" t="str">
        <x:f t="shared" si="7"/>
        <x:v>1 + 2.51 = 3.51</x:v>
      </x:c>
    </x:row>
    <x:row r="97">
      <x:c r="A97" s="1" t="s">
        <x:v>314</x:v>
      </x:c>
      <x:c r="B97" s="1" t="s">
        <x:v>315</x:v>
      </x:c>
      <x:c r="C97" s="1" t="str">
        <x:v>Romania (Roumanie)</x:v>
      </x:c>
      <x:c r="D97" s="1" t="str">
        <x:v>UE</x:v>
      </x:c>
      <x:c r="E97" s="1">
        <x:v>10</x:v>
      </x:c>
      <x:c r="F97" s="1">
        <x:v>101.2363</x:v>
      </x:c>
      <x:c r="G97" s="2">
        <x:v>1910900</x:v>
      </x:c>
      <x:c r="H97" s="1">
        <x:v>19109000</x:v>
      </x:c>
      <x:c r="I97" s="4">
        <x:v>70887818.41096361</x:v>
      </x:c>
      <x:c r="J97" s="20">
        <x:f t="shared" si="4"/>
        <x:v>0.70022134758938848</x:v>
      </x:c>
      <x:c r="K97" s="5">
        <x:v>0.70022134758938848</x:v>
      </x:c>
      <x:c r="L97" s="10">
        <x:v>1.51117800227177</x:v>
      </x:c>
      <x:c r="M97"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97" s="1" t="s">
        <x:v>316</x:v>
      </x:c>
      <x:c r="O97" s="1">
        <x:v>177136608200</x:v>
      </x:c>
      <x:c r="P97" s="1">
        <x:v>284087.5637</x:v>
      </x:c>
      <x:c r="Q97" s="7">
        <x:v>0.62352820339245285</x:v>
      </x:c>
      <x:c r="R97" s="5">
        <x:v>0.62352820339245285</x:v>
      </x:c>
      <x:c r="S97" s="15">
        <x:v>0.41</x:v>
      </x:c>
      <x:c r="T97" s="1" t="s">
        <x:v>250</x:v>
      </x:c>
      <x:c r="U97" s="1" t="s">
        <x:v>316</x:v>
      </x:c>
      <x:c r="V97">
        <x:v>-42.47</x:v>
      </x:c>
      <x:c r="W97" s="17" t="s">
        <x:v>316</x:v>
      </x:c>
      <x:c r="X97" s="17">
        <x:f t="shared" si="5"/>
        <x:v>101236300</x:v>
      </x:c>
      <x:c r="Y97" t="str">
        <x:f t="shared" si="6"/>
        <x:v>1 + -0.42 = 0.58</x:v>
      </x:c>
      <x:c r="Z97" t="str">
        <x:f t="shared" si="7"/>
        <x:v>1 + 0.70 = 1.70</x:v>
      </x:c>
    </x:row>
    <x:row r="98">
      <x:c r="A98" s="1" t="s">
        <x:v>317</x:v>
      </x:c>
      <x:c r="B98" s="1" t="s">
        <x:v>318</x:v>
      </x:c>
      <x:c r="C98" s="1" t="str">
        <x:v>Slovakia (Slovaquie)</x:v>
      </x:c>
      <x:c r="D98" s="1" t="str">
        <x:v>UE</x:v>
      </x:c>
      <x:c r="E98" s="1">
        <x:v>10</x:v>
      </x:c>
      <x:c r="F98" s="1">
        <x:v>38.063209999999998</x:v>
      </x:c>
      <x:c r="G98" s="2">
        <x:v>442290</x:v>
      </x:c>
      <x:c r="H98" s="1">
        <x:v>4422900</x:v>
      </x:c>
      <x:c r="I98" s="4">
        <x:v>16407437.963778896</x:v>
      </x:c>
      <x:c r="J98" s="20">
        <x:f t="shared" si="4"/>
        <x:v>0.43105765288263642</x:v>
      </x:c>
      <x:c r="K98" s="5">
        <x:v>0.43105765288263642</x:v>
      </x:c>
      <x:c r="L98" s="10">
        <x:v>1.51117800227177</x:v>
      </x:c>
      <x:c r="M98"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98" s="1" t="s">
        <x:v>319</x:v>
      </x:c>
      <x:c r="O98" s="1">
        <x:v>40999398420</x:v>
      </x:c>
      <x:c r="P98" s="1">
        <x:v>116527.1011</x:v>
      </x:c>
      <x:c r="Q98" s="7">
        <x:v>0.35184431804250899</x:v>
      </x:c>
      <x:c r="R98" s="5">
        <x:v>0.35184431804250899</x:v>
      </x:c>
      <x:c r="S98" s="15">
        <x:v>0.41</x:v>
      </x:c>
      <x:c r="T98" s="1" t="s">
        <x:v>250</x:v>
      </x:c>
      <x:c r="U98" s="1" t="s">
        <x:v>319</x:v>
      </x:c>
      <x:c r="V98">
        <x:v>-1.43</x:v>
      </x:c>
      <x:c r="W98" s="17" t="s">
        <x:v>319</x:v>
      </x:c>
      <x:c r="X98" s="17">
        <x:f t="shared" si="5"/>
        <x:v>38063210</x:v>
      </x:c>
      <x:c r="Y98" t="str">
        <x:f t="shared" si="6"/>
        <x:v>1 + -0.04 = 0.96</x:v>
      </x:c>
      <x:c r="Z98" t="str">
        <x:f t="shared" si="7"/>
        <x:v>1 + 0.43 = 1.43</x:v>
      </x:c>
    </x:row>
    <x:row r="99">
      <x:c r="A99" s="1" t="s">
        <x:v>320</x:v>
      </x:c>
      <x:c r="B99" s="1" t="s">
        <x:v>321</x:v>
      </x:c>
      <x:c r="C99" s="1" t="str">
        <x:v>Slovenia (Slovénie)</x:v>
      </x:c>
      <x:c r="D99" s="1" t="str">
        <x:v>UE</x:v>
      </x:c>
      <x:c r="E99" s="1">
        <x:v>10</x:v>
      </x:c>
      <x:c r="F99" s="1">
        <x:v>16.46332</x:v>
      </x:c>
      <x:c r="G99" s="2">
        <x:v>485610</x:v>
      </x:c>
      <x:c r="H99" s="1">
        <x:v>4856100</x:v>
      </x:c>
      <x:c r="I99" s="4">
        <x:v>31125930.986209661</x:v>
      </x:c>
      <x:c r="J99" s="20">
        <x:f t="shared" si="4"/>
        <x:v>1.8906229719284846</x:v>
      </x:c>
      <x:c r="K99" s="5">
        <x:v>1.8906229719284846</x:v>
      </x:c>
      <x:c r="L99" s="10">
        <x:v>1.51117800227177</x:v>
      </x:c>
      <x:c r="M99"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99" s="1" t="s">
        <x:v>322</x:v>
      </x:c>
      <x:c r="O99" s="1">
        <x:v>45015075780</x:v>
      </x:c>
      <x:c r="P99" s="1">
        <x:v>61748.58653</x:v>
      </x:c>
      <x:c r="Q99" s="7">
        <x:v>0.72900576854710397</x:v>
      </x:c>
      <x:c r="R99" s="5">
        <x:v>0.72900576854710397</x:v>
      </x:c>
      <x:c r="S99" s="15">
        <x:v>0.41</x:v>
      </x:c>
      <x:c r="T99" s="1" t="s">
        <x:v>250</x:v>
      </x:c>
      <x:c r="U99" s="1" t="s">
        <x:v>322</x:v>
      </x:c>
      <x:c r="V99">
        <x:v>1.6</x:v>
      </x:c>
      <x:c r="W99" s="17" t="s">
        <x:v>322</x:v>
      </x:c>
      <x:c r="X99" s="17">
        <x:f t="shared" si="5"/>
        <x:v>16463320</x:v>
      </x:c>
      <x:c r="Y99" t="str">
        <x:f t="shared" si="6"/>
        <x:v>1 + 0.10 = 1.10</x:v>
      </x:c>
      <x:c r="Z99" t="str">
        <x:f t="shared" si="7"/>
        <x:v>1 + 1.89 = 2.89</x:v>
      </x:c>
    </x:row>
    <x:row r="100">
      <x:c r="A100" s="1" t="s">
        <x:v>323</x:v>
      </x:c>
      <x:c r="B100" s="1" t="s">
        <x:v>324</x:v>
      </x:c>
      <x:c r="C100" s="1" t="str">
        <x:v>Spain (Espagne)</x:v>
      </x:c>
      <x:c r="D100" s="1" t="str">
        <x:v>UE</x:v>
      </x:c>
      <x:c r="E100" s="1">
        <x:v>20</x:v>
      </x:c>
      <x:c r="F100" s="1">
        <x:v>306.947</x:v>
      </x:c>
      <x:c r="G100" s="2">
        <x:v>6636430</x:v>
      </x:c>
      <x:c r="H100" s="1">
        <x:v>66364300</x:v>
      </x:c>
      <x:c r="I100" s="4">
        <x:v>425372340.30355918</x:v>
      </x:c>
      <x:c r="J100" s="20">
        <x:f t="shared" si="4"/>
        <x:v>1.3858169009749539</x:v>
      </x:c>
      <x:c r="K100" s="5">
        <x:v>1.3858169009749539</x:v>
      </x:c>
      <x:c r="L100" s="10">
        <x:v>1.51117800227177</x:v>
      </x:c>
      <x:c r="M100"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00" s="1" t="s">
        <x:v>325</x:v>
      </x:c>
      <x:c r="O100" s="1">
        <x:v>615183788140</x:v>
      </x:c>
      <x:c r="P100" s="1">
        <x:v>1427380.6810000001</x:v>
      </x:c>
      <x:c r="Q100" s="7">
        <x:v>0.43098789014645489</x:v>
      </x:c>
      <x:c r="R100" s="5">
        <x:v>0.43098789014645489</x:v>
      </x:c>
      <x:c r="S100" s="15">
        <x:v>0.41</x:v>
      </x:c>
      <x:c r="T100" s="1" t="s">
        <x:v>250</x:v>
      </x:c>
      <x:c r="U100" s="1" t="s">
        <x:v>325</x:v>
      </x:c>
      <x:c r="V100">
        <x:v>-13.35</x:v>
      </x:c>
      <x:c r="W100" s="17" t="s">
        <x:v>325</x:v>
      </x:c>
      <x:c r="X100" s="17">
        <x:f t="shared" si="5"/>
        <x:v>306947000</x:v>
      </x:c>
      <x:c r="Y100" t="str">
        <x:f t="shared" si="6"/>
        <x:v>1 + -0.04 = 0.96</x:v>
      </x:c>
      <x:c r="Z100" t="str">
        <x:f t="shared" si="7"/>
        <x:v>1 + 1.39 = 2.39</x:v>
      </x:c>
    </x:row>
    <x:row r="101">
      <x:c r="A101" s="1" t="s">
        <x:v>326</x:v>
      </x:c>
      <x:c r="B101" s="1" t="s">
        <x:v>327</x:v>
      </x:c>
      <x:c r="C101" s="1" t="str">
        <x:v>Sweden (Suède)</x:v>
      </x:c>
      <x:c r="D101" s="1" t="str">
        <x:v>UE</x:v>
      </x:c>
      <x:c r="E101" s="1">
        <x:v>10</x:v>
      </x:c>
      <x:c r="F101" s="1">
        <x:v>46.18853</x:v>
      </x:c>
      <x:c r="G101" s="2">
        <x:v>1390960</x:v>
      </x:c>
      <x:c r="H101" s="1">
        <x:v>13909600</x:v>
      </x:c>
      <x:c r="I101" s="4">
        <x:v>51599832.485694669</x:v>
      </x:c>
      <x:c r="J101" s="20">
        <x:f t="shared" si="4"/>
        <x:v>1.1171568457730667</x:v>
      </x:c>
      <x:c r="K101" s="5">
        <x:v>1.1171568457730667</x:v>
      </x:c>
      <x:c r="L101" s="10">
        <x:v>1.51117800227177</x:v>
      </x:c>
      <x:c r="M10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01" s="1" t="s">
        <x:v>328</x:v>
      </x:c>
      <x:c r="O101" s="1">
        <x:v>128939210080</x:v>
      </x:c>
      <x:c r="P101" s="1">
        <x:v>635663.80119999999</x:v>
      </x:c>
      <x:c r="Q101" s="7">
        <x:v>0.20284183217070062</x:v>
      </x:c>
      <x:c r="R101" s="5">
        <x:v>0.20284183217070062</x:v>
      </x:c>
      <x:c r="S101" s="15">
        <x:v>0.41</x:v>
      </x:c>
      <x:c r="T101" s="1" t="s">
        <x:v>250</x:v>
      </x:c>
      <x:c r="U101" s="1" t="s">
        <x:v>328</x:v>
      </x:c>
      <x:c r="V101">
        <x:v>2.4500000000000002</x:v>
      </x:c>
      <x:c r="W101" s="17" t="s">
        <x:v>328</x:v>
      </x:c>
      <x:c r="X101" s="17">
        <x:f t="shared" si="5"/>
        <x:v>46188530</x:v>
      </x:c>
      <x:c r="Y101" t="str">
        <x:f t="shared" si="6"/>
        <x:v>1 + 0.05 = 1.05</x:v>
      </x:c>
      <x:c r="Z101" t="str">
        <x:f t="shared" si="7"/>
        <x:v>1 + 1.12 = 2.12</x:v>
      </x:c>
    </x:row>
    <x:row r="102" s="2" customFormat="1">
      <x:c r="A102" s="2" t="s">
        <x:v>329</x:v>
      </x:c>
      <x:c r="B102" s="2" t="s">
        <x:v>330</x:v>
      </x:c>
      <x:c r="C102" s="2" t="str">
        <x:v>Belize (Belize)</x:v>
      </x:c>
      <x:c r="D102" s="2" t="str">
        <x:v>Amérique latine</x:v>
      </x:c>
      <x:c r="E102" s="2">
        <x:v>20</x:v>
      </x:c>
      <x:c r="F102" s="2">
        <x:v>1.5457620000000001</x:v>
      </x:c>
      <x:c r="G102" s="2">
        <x:v>108306</x:v>
      </x:c>
      <x:c r="H102" s="2">
        <x:v>1083060</x:v>
      </x:c>
      <x:c r="I102" s="2">
        <x:v>9866304.135442894</x:v>
      </x:c>
      <x:c r="J102" s="20">
        <x:f t="shared" si="4"/>
        <x:v>6.382809342863192</x:v>
      </x:c>
      <x:c r="K102" s="5">
        <x:v>6.382809342863192</x:v>
      </x:c>
      <x:c r="L102" s="10">
        <x:v>8.8351224303107969</x:v>
      </x:c>
      <x:c r="M10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02" s="2" t="s">
        <x:v>331</x:v>
      </x:c>
      <x:c r="O102" s="2">
        <x:v>10039749588</x:v>
      </x:c>
      <x:c r="P102" s="2">
        <x:v>2491.5</x:v>
      </x:c>
      <x:c r="Q102" s="2">
        <x:v>4.0296004768211917</x:v>
      </x:c>
      <x:c r="R102" s="5">
        <x:v>4.0296004768211917</x:v>
      </x:c>
      <x:c r="S102" s="15">
        <x:v>6.15</x:v>
      </x:c>
      <x:c r="T102" s="2" t="s">
        <x:v>332</x:v>
      </x:c>
      <x:c r="U102" s="2" t="s">
        <x:v>331</x:v>
      </x:c>
      <x:c r="V102">
        <x:v>4.6500000000000004</x:v>
      </x:c>
      <x:c r="W102" s="17" t="s">
        <x:v>331</x:v>
      </x:c>
      <x:c r="X102" s="17">
        <x:f t="shared" si="5"/>
        <x:v>1545762</x:v>
      </x:c>
      <x:c r="Y102" t="str">
        <x:f t="shared" si="6"/>
        <x:v>1 + 3.01 = 4.01</x:v>
      </x:c>
      <x:c r="Z102" t="str">
        <x:f t="shared" si="7"/>
        <x:v>1 + 6.38 = 7.38</x:v>
      </x:c>
      <x:c r="AA102" s="1"/>
      <x:c r="AB102" s="1"/>
      <x:c r="AC102" s="1"/>
      <x:c r="AD102" s="1"/>
      <x:c r="AE102" s="1"/>
    </x:row>
    <x:row r="103">
      <x:c r="A103" s="1" t="s">
        <x:v>333</x:v>
      </x:c>
      <x:c r="B103" s="1" t="s">
        <x:v>334</x:v>
      </x:c>
      <x:c r="C103" s="1" t="str">
        <x:v>Bolivia (Bolivie)</x:v>
      </x:c>
      <x:c r="D103" s="1" t="str">
        <x:v>Amérique latine</x:v>
      </x:c>
      <x:c r="E103" s="1">
        <x:v>30</x:v>
      </x:c>
      <x:c r="F103" s="1">
        <x:v>60.785469999999997</x:v>
      </x:c>
      <x:c r="G103" s="2">
        <x:v>10142680</x:v>
      </x:c>
      <x:c r="H103" s="1">
        <x:v>101426800</x:v>
      </x:c>
      <x:c r="I103" s="4">
        <x:v>650110907.30258644</x:v>
      </x:c>
      <x:c r="J103" s="20">
        <x:f t="shared" si="4"/>
        <x:v>10.695169541381953</x:v>
      </x:c>
      <x:c r="K103" s="5">
        <x:v>10.695169541381953</x:v>
      </x:c>
      <x:c r="L103" s="10">
        <x:v>8.8351224303107969</x:v>
      </x:c>
      <x:c r="M103"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03" s="1" t="s">
        <x:v>335</x:v>
      </x:c>
      <x:c r="O103" s="1">
        <x:v>940206150640</x:v>
      </x:c>
      <x:c r="P103" s="1">
        <x:v>40408.208530000004</x:v>
      </x:c>
      <x:c r="Q103" s="7">
        <x:v>23.267701906209698</x:v>
      </x:c>
      <x:c r="R103" s="5">
        <x:v>23.267701906209698</x:v>
      </x:c>
      <x:c r="S103" s="15">
        <x:v>6.15</x:v>
      </x:c>
      <x:c r="T103" s="1" t="s">
        <x:v>332</x:v>
      </x:c>
      <x:c r="U103" s="1" t="s">
        <x:v>335</x:v>
      </x:c>
      <x:c r="V103">
        <x:v>71.2</x:v>
      </x:c>
      <x:c r="W103" s="17" t="s">
        <x:v>335</x:v>
      </x:c>
      <x:c r="X103" s="17">
        <x:f t="shared" si="5"/>
        <x:v>60785470</x:v>
      </x:c>
      <x:c r="Y103" t="str">
        <x:f t="shared" si="6"/>
        <x:v>1 + 1.17 = 2.17</x:v>
      </x:c>
      <x:c r="Z103" t="str">
        <x:f t="shared" si="7"/>
        <x:v>1 + 10.70 = 11.70</x:v>
      </x:c>
    </x:row>
    <x:row r="104">
      <x:c r="A104" s="1" t="s">
        <x:v>336</x:v>
      </x:c>
      <x:c r="B104" s="1" t="s">
        <x:v>337</x:v>
      </x:c>
      <x:c r="C104" s="1" t="str">
        <x:v>Chile (Chili)</x:v>
      </x:c>
      <x:c r="D104" s="1" t="str">
        <x:v>Amérique latine</x:v>
      </x:c>
      <x:c r="E104" s="1">
        <x:v>30</x:v>
      </x:c>
      <x:c r="F104" s="1">
        <x:v>113.0189</x:v>
      </x:c>
      <x:c r="G104" s="2">
        <x:v>3196740</x:v>
      </x:c>
      <x:c r="H104" s="1">
        <x:v>31967400</x:v>
      </x:c>
      <x:c r="I104" s="4">
        <x:v>161744050.40455484</x:v>
      </x:c>
      <x:c r="J104" s="20">
        <x:f t="shared" si="4"/>
        <x:v>1.4311239129433648</x:v>
      </x:c>
      <x:c r="K104" s="5">
        <x:v>1.4311239129433648</x:v>
      </x:c>
      <x:c r="L104" s="10">
        <x:v>8.8351224303107969</x:v>
      </x:c>
      <x:c r="M104"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04" s="1" t="s">
        <x:v>338</x:v>
      </x:c>
      <x:c r="O104" s="1">
        <x:v>296331404520</x:v>
      </x:c>
      <x:c r="P104" s="1">
        <x:v>317058.50870000001</x:v>
      </x:c>
      <x:c r="Q104" s="7">
        <x:v>0.93462687923126542</x:v>
      </x:c>
      <x:c r="R104" s="5">
        <x:v>0.93462687923126542</x:v>
      </x:c>
      <x:c r="S104" s="15">
        <x:v>6.15</x:v>
      </x:c>
      <x:c r="T104" s="1" t="s">
        <x:v>332</x:v>
      </x:c>
      <x:c r="U104" s="1" t="s">
        <x:v>338</x:v>
      </x:c>
      <x:c r="V104">
        <x:v>5.22</x:v>
      </x:c>
      <x:c r="W104" s="17" t="s">
        <x:v>338</x:v>
      </x:c>
      <x:c r="X104" s="17">
        <x:f t="shared" si="5"/>
        <x:v>113018900</x:v>
      </x:c>
      <x:c r="Y104" t="str">
        <x:f t="shared" si="6"/>
        <x:v>1 + 0.05 = 1.05</x:v>
      </x:c>
      <x:c r="Z104" t="str">
        <x:f t="shared" si="7"/>
        <x:v>1 + 1.43 = 2.43</x:v>
      </x:c>
    </x:row>
    <x:row r="105">
      <x:c r="A105" s="1" t="s">
        <x:v>339</x:v>
      </x:c>
      <x:c r="B105" s="1" t="s">
        <x:v>340</x:v>
      </x:c>
      <x:c r="C105" s="1" t="str">
        <x:v>Colombia (Colombie)</x:v>
      </x:c>
      <x:c r="D105" s="1" t="str">
        <x:v>Amérique latine</x:v>
      </x:c>
      <x:c r="E105" s="1">
        <x:v>40</x:v>
      </x:c>
      <x:c r="F105" s="1">
        <x:v>187.3389</x:v>
      </x:c>
      <x:c r="G105" s="2">
        <x:v>28245262</x:v>
      </x:c>
      <x:c r="H105" s="1">
        <x:v>282452620</x:v>
      </x:c>
      <x:c r="I105" s="4">
        <x:v>1810424158.6857977</x:v>
      </x:c>
      <x:c r="J105" s="20">
        <x:f t="shared" si="4"/>
        <x:v>9.6638987347838476</x:v>
      </x:c>
      <x:c r="K105" s="5">
        <x:v>9.6638987347838476</x:v>
      </x:c>
      <x:c r="L105" s="10">
        <x:v>8.8351224303107969</x:v>
      </x:c>
      <x:c r="M105"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05" s="1" t="s">
        <x:v>341</x:v>
      </x:c>
      <x:c r="O105" s="1">
        <x:v>2618279296876</x:v>
      </x:c>
      <x:c r="P105" s="1">
        <x:v>314464.1372</x:v>
      </x:c>
      <x:c r="Q105" s="7">
        <x:v>8.3261618325995865</x:v>
      </x:c>
      <x:c r="R105" s="5">
        <x:v>8.3261618325995865</x:v>
      </x:c>
      <x:c r="S105" s="15">
        <x:v>6.15</x:v>
      </x:c>
      <x:c r="T105" s="1" t="s">
        <x:v>332</x:v>
      </x:c>
      <x:c r="U105" s="1" t="s">
        <x:v>341</x:v>
      </x:c>
      <x:c r="V105">
        <x:v>71.95</x:v>
      </x:c>
      <x:c r="W105" s="17" t="s">
        <x:v>341</x:v>
      </x:c>
      <x:c r="X105" s="17">
        <x:f t="shared" si="5"/>
        <x:v>187338900</x:v>
      </x:c>
      <x:c r="Y105" t="str">
        <x:f t="shared" si="6"/>
        <x:v>1 + 0.38 = 1.38</x:v>
      </x:c>
      <x:c r="Z105" t="str">
        <x:f t="shared" si="7"/>
        <x:v>1 + 9.66 = 10.66</x:v>
      </x:c>
    </x:row>
    <x:row r="106">
      <x:c r="A106" s="1" t="s">
        <x:v>342</x:v>
      </x:c>
      <x:c r="B106" s="1" t="s">
        <x:v>343</x:v>
      </x:c>
      <x:c r="C106" s="1" t="str">
        <x:v>Costa Rica (Costa Rica)</x:v>
      </x:c>
      <x:c r="D106" s="1" t="str">
        <x:v>Amérique latine</x:v>
      </x:c>
      <x:c r="E106" s="1">
        <x:v>40</x:v>
      </x:c>
      <x:c r="F106" s="1">
        <x:v>15.745710000000001</x:v>
      </x:c>
      <x:c r="G106" s="2">
        <x:v>1427793</x:v>
      </x:c>
      <x:c r="H106" s="1">
        <x:v>14277930</x:v>
      </x:c>
      <x:c r="I106" s="4">
        <x:v>52966210.116931789</x:v>
      </x:c>
      <x:c r="J106" s="20">
        <x:f t="shared" si="4"/>
        <x:v>3.3638502244059993</x:v>
      </x:c>
      <x:c r="K106" s="5">
        <x:v>3.3638502244059993</x:v>
      </x:c>
      <x:c r="L106" s="10">
        <x:v>8.8351224303107969</x:v>
      </x:c>
      <x:c r="M106"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06" s="1" t="s">
        <x:v>344</x:v>
      </x:c>
      <x:c r="O106" s="1">
        <x:v>132353555514</x:v>
      </x:c>
      <x:c r="P106" s="1">
        <x:v>64282.438670000003</x:v>
      </x:c>
      <x:c r="Q106" s="7">
        <x:v>2.0589379969457839</x:v>
      </x:c>
      <x:c r="R106" s="5">
        <x:v>2.0589379969457839</x:v>
      </x:c>
      <x:c r="S106" s="15">
        <x:v>6.15</x:v>
      </x:c>
      <x:c r="T106" s="1" t="s">
        <x:v>332</x:v>
      </x:c>
      <x:c r="U106" s="1" t="s">
        <x:v>344</x:v>
      </x:c>
      <x:c r="V106">
        <x:v>-1.34</x:v>
      </x:c>
      <x:c r="W106" s="17" t="s">
        <x:v>344</x:v>
      </x:c>
      <x:c r="X106" s="17">
        <x:f t="shared" si="5"/>
        <x:v>15745710</x:v>
      </x:c>
      <x:c r="Y106" t="str">
        <x:f t="shared" si="6"/>
        <x:v>1 + -0.09 = 0.91</x:v>
      </x:c>
      <x:c r="Z106" t="str">
        <x:f t="shared" si="7"/>
        <x:v>1 + 3.36 = 4.36</x:v>
      </x:c>
    </x:row>
    <x:row r="107">
      <x:c r="A107" s="1" t="s">
        <x:v>345</x:v>
      </x:c>
      <x:c r="B107" s="1" t="s">
        <x:v>346</x:v>
      </x:c>
      <x:c r="C107" s="1" t="str">
        <x:v>Ecuador (Équateur)</x:v>
      </x:c>
      <x:c r="D107" s="1" t="str">
        <x:v>Amérique latine</x:v>
      </x:c>
      <x:c r="E107" s="1">
        <x:v>40</x:v>
      </x:c>
      <x:c r="F107" s="1">
        <x:v>72.528400000000005</x:v>
      </x:c>
      <x:c r="G107" s="2">
        <x:v>4335924</x:v>
      </x:c>
      <x:c r="H107" s="1">
        <x:v>43359240</x:v>
      </x:c>
      <x:c r="I107" s="4">
        <x:v>277917817.14843214</x:v>
      </x:c>
      <x:c r="J107" s="20">
        <x:f t="shared" si="4"/>
        <x:v>3.8318481746244526</x:v>
      </x:c>
      <x:c r="K107" s="5">
        <x:v>3.8318481746244526</x:v>
      </x:c>
      <x:c r="L107" s="10">
        <x:v>8.8351224303107969</x:v>
      </x:c>
      <x:c r="M107"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07" s="1" t="s">
        <x:v>347</x:v>
      </x:c>
      <x:c r="O107" s="1">
        <x:v>401931482952</x:v>
      </x:c>
      <x:c r="P107" s="1">
        <x:v>106165.86599999999</x:v>
      </x:c>
      <x:c r="Q107" s="7">
        <x:v>3.785882394177428</x:v>
      </x:c>
      <x:c r="R107" s="5">
        <x:v>3.785882394177428</x:v>
      </x:c>
      <x:c r="S107" s="15">
        <x:v>6.15</x:v>
      </x:c>
      <x:c r="T107" s="1" t="s">
        <x:v>332</x:v>
      </x:c>
      <x:c r="U107" s="1" t="s">
        <x:v>347</x:v>
      </x:c>
      <x:c r="V107">
        <x:v>29.12</x:v>
      </x:c>
      <x:c r="W107" s="17" t="s">
        <x:v>347</x:v>
      </x:c>
      <x:c r="X107" s="17">
        <x:f t="shared" si="5"/>
        <x:v>72528400</x:v>
      </x:c>
      <x:c r="Y107" t="str">
        <x:f t="shared" si="6"/>
        <x:v>1 + 0.40 = 1.40</x:v>
      </x:c>
      <x:c r="Z107" t="str">
        <x:f t="shared" si="7"/>
        <x:v>1 + 3.83 = 4.83</x:v>
      </x:c>
    </x:row>
    <x:row r="108">
      <x:c r="A108" s="1" t="s">
        <x:v>348</x:v>
      </x:c>
      <x:c r="B108" s="1" t="s">
        <x:v>349</x:v>
      </x:c>
      <x:c r="C108" s="1" t="str">
        <x:v>El Salvador (Salvador)</x:v>
      </x:c>
      <x:c r="D108" s="1" t="str">
        <x:v>Amérique latine</x:v>
      </x:c>
      <x:c r="E108" s="1">
        <x:v>40</x:v>
      </x:c>
      <x:c r="F108" s="1">
        <x:v>12.82311</x:v>
      </x:c>
      <x:c r="G108" s="2">
        <x:v>692966</x:v>
      </x:c>
      <x:c r="H108" s="1">
        <x:v>6929660</x:v>
      </x:c>
      <x:c r="I108" s="4">
        <x:v>44416737.488498509</x:v>
      </x:c>
      <x:c r="J108" s="20">
        <x:f t="shared" si="4"/>
        <x:v>3.4638038267236659</x:v>
      </x:c>
      <x:c r="K108" s="5">
        <x:v>3.4638038267236659</x:v>
      </x:c>
      <x:c r="L108" s="10">
        <x:v>8.8351224303107969</x:v>
      </x:c>
      <x:c r="M108"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08" s="1" t="s">
        <x:v>350</x:v>
      </x:c>
      <x:c r="O108" s="1">
        <x:v>64236562268</x:v>
      </x:c>
      <x:c r="P108" s="1">
        <x:v>28736.94</x:v>
      </x:c>
      <x:c r="Q108" s="7">
        <x:v>2.2353306325586511</x:v>
      </x:c>
      <x:c r="R108" s="5">
        <x:v>2.2353306325586511</x:v>
      </x:c>
      <x:c r="S108" s="15">
        <x:v>6.15</x:v>
      </x:c>
      <x:c r="T108" s="1" t="s">
        <x:v>332</x:v>
      </x:c>
      <x:c r="U108" s="1" t="s">
        <x:v>350</x:v>
      </x:c>
      <x:c r="V108">
        <x:v>-0.18</x:v>
      </x:c>
      <x:c r="W108" s="17" t="s">
        <x:v>350</x:v>
      </x:c>
      <x:c r="X108" s="17">
        <x:f t="shared" si="5"/>
        <x:v>12823110</x:v>
      </x:c>
      <x:c r="Y108" t="str">
        <x:f t="shared" si="6"/>
        <x:v>1 + -0.01 = 0.99</x:v>
      </x:c>
      <x:c r="Z108" t="str">
        <x:f t="shared" si="7"/>
        <x:v>1 + 3.46 = 4.46</x:v>
      </x:c>
    </x:row>
    <x:row r="109">
      <x:c r="A109" s="1" t="s">
        <x:v>351</x:v>
      </x:c>
      <x:c r="B109" s="1" t="s">
        <x:v>352</x:v>
      </x:c>
      <x:c r="C109" s="1" t="str">
        <x:v>Guatemala (Guatemala)</x:v>
      </x:c>
      <x:c r="D109" s="1" t="str">
        <x:v>Amérique latine</x:v>
      </x:c>
      <x:c r="E109" s="1">
        <x:v>40</x:v>
      </x:c>
      <x:c r="F109" s="1">
        <x:v>35.095239999999997</x:v>
      </x:c>
      <x:c r="G109" s="2">
        <x:v>4083700</x:v>
      </x:c>
      <x:c r="H109" s="1">
        <x:v>40837000</x:v>
      </x:c>
      <x:c r="I109" s="4">
        <x:v>372011026.14728773</x:v>
      </x:c>
      <x:c r="J109" s="20">
        <x:f t="shared" si="4"/>
        <x:v>10.600042232145663</x:v>
      </x:c>
      <x:c r="K109" s="5">
        <x:v>10.600042232145663</x:v>
      </x:c>
      <x:c r="L109" s="10">
        <x:v>8.8351224303107969</x:v>
      </x:c>
      <x:c r="M109"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09" s="1" t="s">
        <x:v>353</x:v>
      </x:c>
      <x:c r="O109" s="1">
        <x:v>378550822600</x:v>
      </x:c>
      <x:c r="P109" s="1">
        <x:v>85985.752110000001</x:v>
      </x:c>
      <x:c r="Q109" s="7">
        <x:v>4.4024831243637532</x:v>
      </x:c>
      <x:c r="R109" s="5">
        <x:v>4.4024831243637532</x:v>
      </x:c>
      <x:c r="S109" s="15">
        <x:v>6.15</x:v>
      </x:c>
      <x:c r="T109" s="1" t="s">
        <x:v>332</x:v>
      </x:c>
      <x:c r="U109" s="1" t="s">
        <x:v>353</x:v>
      </x:c>
      <x:c r="V109">
        <x:v>5.85</x:v>
      </x:c>
      <x:c r="W109" s="17" t="s">
        <x:v>353</x:v>
      </x:c>
      <x:c r="X109" s="17">
        <x:f t="shared" si="5"/>
        <x:v>35095240</x:v>
      </x:c>
      <x:c r="Y109" t="str">
        <x:f t="shared" si="6"/>
        <x:v>1 + 0.17 = 1.17</x:v>
      </x:c>
      <x:c r="Z109" t="str">
        <x:f t="shared" si="7"/>
        <x:v>1 + 10.60 = 11.60</x:v>
      </x:c>
    </x:row>
    <x:row r="110">
      <x:c r="A110" s="1" t="s">
        <x:v>354</x:v>
      </x:c>
      <x:c r="B110" s="1" t="s">
        <x:v>355</x:v>
      </x:c>
      <x:c r="C110" s="1" t="str">
        <x:v>Guyana (Guyana)</x:v>
      </x:c>
      <x:c r="D110" s="1" t="str">
        <x:v>Amérique latine</x:v>
      </x:c>
      <x:c r="E110" s="1">
        <x:v>40</x:v>
      </x:c>
      <x:c r="F110" s="1">
        <x:v>5.6801899999999996</x:v>
      </x:c>
      <x:c r="G110" s="2">
        <x:v>96119</x:v>
      </x:c>
      <x:c r="H110" s="1">
        <x:v>961190</x:v>
      </x:c>
      <x:c r="I110" s="4">
        <x:v>8756110.3465609998</x:v>
      </x:c>
      <x:c r="J110" s="20">
        <x:f t="shared" si="4"/>
        <x:v>1.5415171581515759</x:v>
      </x:c>
      <x:c r="K110" s="5">
        <x:v>1.5415171581515759</x:v>
      </x:c>
      <x:c r="L110" s="10">
        <x:v>8.8351224303107969</x:v>
      </x:c>
      <x:c r="M110"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10" s="1" t="s">
        <x:v>356</x:v>
      </x:c>
      <x:c r="O110" s="1">
        <x:v>8910039062</x:v>
      </x:c>
      <x:c r="P110" s="1">
        <x:v>8044.4988009999997</x:v>
      </x:c>
      <x:c r="Q110" s="7">
        <x:v>1.1075940568096556</x:v>
      </x:c>
      <x:c r="R110" s="5">
        <x:v>1.1075940568096556</x:v>
      </x:c>
      <x:c r="S110" s="15">
        <x:v>6.15</x:v>
      </x:c>
      <x:c r="T110" s="1" t="s">
        <x:v>332</x:v>
      </x:c>
      <x:c r="U110" s="1" t="s">
        <x:v>356</x:v>
      </x:c>
      <x:c r="V110">
        <x:v>12.91</x:v>
      </x:c>
      <x:c r="W110" s="17" t="s">
        <x:v>356</x:v>
      </x:c>
      <x:c r="X110" s="17">
        <x:f t="shared" si="5"/>
        <x:v>5680190</x:v>
      </x:c>
      <x:c r="Y110" t="str">
        <x:f t="shared" si="6"/>
        <x:v>1 + 2.27 = 3.27</x:v>
      </x:c>
      <x:c r="Z110" t="str">
        <x:f t="shared" si="7"/>
        <x:v>1 + 1.54 = 2.54</x:v>
      </x:c>
    </x:row>
    <x:row r="111">
      <x:c r="A111" s="1" t="s">
        <x:v>357</x:v>
      </x:c>
      <x:c r="B111" s="1" t="s">
        <x:v>358</x:v>
      </x:c>
      <x:c r="C111" s="1" t="str">
        <x:v>Honduras (Honduras)</x:v>
      </x:c>
      <x:c r="D111" s="1" t="str">
        <x:v>Amérique latine</x:v>
      </x:c>
      <x:c r="E111" s="1">
        <x:v>40</x:v>
      </x:c>
      <x:c r="F111" s="1">
        <x:v>22.3887</x:v>
      </x:c>
      <x:c r="G111" s="2">
        <x:v>2839055</x:v>
      </x:c>
      <x:c r="H111" s="1">
        <x:v>28390550</x:v>
      </x:c>
      <x:c r="I111" s="4">
        <x:v>105319176.98400664</x:v>
      </x:c>
      <x:c r="J111" s="20">
        <x:f t="shared" si="4"/>
        <x:v>4.7041220340621228</x:v>
      </x:c>
      <x:c r="K111" s="5">
        <x:v>4.7041220340621228</x:v>
      </x:c>
      <x:c r="L111" s="10">
        <x:v>8.8351224303107969</x:v>
      </x:c>
      <x:c r="M11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11" s="1" t="s">
        <x:v>359</x:v>
      </x:c>
      <x:c r="O111" s="1">
        <x:v>263174720390</x:v>
      </x:c>
      <x:c r="P111" s="1">
        <x:v>28488.668300000001</x:v>
      </x:c>
      <x:c r="Q111" s="7">
        <x:v>9.2378737264458231</x:v>
      </x:c>
      <x:c r="R111" s="5">
        <x:v>9.2378737264458231</x:v>
      </x:c>
      <x:c r="S111" s="15">
        <x:v>6.15</x:v>
      </x:c>
      <x:c r="T111" s="1" t="s">
        <x:v>332</x:v>
      </x:c>
      <x:c r="U111" s="1" t="s">
        <x:v>359</x:v>
      </x:c>
      <x:c r="V111">
        <x:v>54.09</x:v>
      </x:c>
      <x:c r="W111" s="17" t="s">
        <x:v>359</x:v>
      </x:c>
      <x:c r="X111" s="17">
        <x:f t="shared" si="5"/>
        <x:v>22388700</x:v>
      </x:c>
      <x:c r="Y111" t="str">
        <x:f t="shared" si="6"/>
        <x:v>1 + 2.42 = 3.42</x:v>
      </x:c>
      <x:c r="Z111" t="str">
        <x:f t="shared" si="7"/>
        <x:v>1 + 4.70 = 5.70</x:v>
      </x:c>
    </x:row>
    <x:row r="112">
      <x:c r="A112" s="1" t="s">
        <x:v>360</x:v>
      </x:c>
      <x:c r="B112" s="1" t="s">
        <x:v>361</x:v>
      </x:c>
      <x:c r="C112" s="1" t="str">
        <x:v>Nicaragua (Nicaragua)</x:v>
      </x:c>
      <x:c r="D112" s="1" t="str">
        <x:v>Amérique latine</x:v>
      </x:c>
      <x:c r="E112" s="1">
        <x:v>40</x:v>
      </x:c>
      <x:c r="F112" s="1">
        <x:v>18.7987</x:v>
      </x:c>
      <x:c r="G112" s="2">
        <x:v>5300315</x:v>
      </x:c>
      <x:c r="H112" s="1">
        <x:v>53003150</x:v>
      </x:c>
      <x:c r="I112" s="4">
        <x:v>625948973.70579648</x:v>
      </x:c>
      <x:c r="J112" s="20">
        <x:f t="shared" si="4"/>
        <x:v>33.297460659822036</x:v>
      </x:c>
      <x:c r="K112" s="5">
        <x:v>33.297460659822036</x:v>
      </x:c>
      <x:c r="L112" s="10">
        <x:v>8.8351224303107969</x:v>
      </x:c>
      <x:c r="M11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12" s="1" t="s">
        <x:v>362</x:v>
      </x:c>
      <x:c r="O112" s="1">
        <x:v>491328599870</x:v>
      </x:c>
      <x:c r="P112" s="1">
        <x:v>14013.02209</x:v>
      </x:c>
      <x:c r="Q112" s="7">
        <x:v>35.062286829664167</x:v>
      </x:c>
      <x:c r="R112" s="5">
        <x:v>35.062286829664167</x:v>
      </x:c>
      <x:c r="S112" s="15">
        <x:v>6.15</x:v>
      </x:c>
      <x:c r="T112" s="1" t="s">
        <x:v>332</x:v>
      </x:c>
      <x:c r="U112" s="1" t="s">
        <x:v>362</x:v>
      </x:c>
      <x:c r="V112">
        <x:v>4.45</x:v>
      </x:c>
      <x:c r="W112" s="17" t="s">
        <x:v>362</x:v>
      </x:c>
      <x:c r="X112" s="17">
        <x:f t="shared" si="5"/>
        <x:v>18798700</x:v>
      </x:c>
      <x:c r="Y112" t="str">
        <x:f t="shared" si="6"/>
        <x:v>1 + 0.24 = 1.24</x:v>
      </x:c>
      <x:c r="Z112" t="str">
        <x:f t="shared" si="7"/>
        <x:v>1 + 33.30 = 34.30</x:v>
      </x:c>
    </x:row>
    <x:row r="113">
      <x:c r="A113" s="1" t="s">
        <x:v>363</x:v>
      </x:c>
      <x:c r="B113" s="1" t="s">
        <x:v>364</x:v>
      </x:c>
      <x:c r="C113" s="1" t="str">
        <x:v>Panama (Panama)</x:v>
      </x:c>
      <x:c r="D113" s="1" t="str">
        <x:v>Amérique latine</x:v>
      </x:c>
      <x:c r="E113" s="1">
        <x:v>30</x:v>
      </x:c>
      <x:c r="F113" s="1">
        <x:v>20.878789999999999</x:v>
      </x:c>
      <x:c r="G113" s="2">
        <x:v>1505500</x:v>
      </x:c>
      <x:c r="H113" s="1">
        <x:v>15055000</x:v>
      </x:c>
      <x:c r="I113" s="4">
        <x:v>137145872.58239871</x:v>
      </x:c>
      <x:c r="J113" s="20">
        <x:f t="shared" si="4"/>
        <x:v>6.5686695724416362</x:v>
      </x:c>
      <x:c r="K113" s="5">
        <x:v>6.5686695724416362</x:v>
      </x:c>
      <x:c r="L113" s="10">
        <x:v>8.8351224303107969</x:v>
      </x:c>
      <x:c r="M113"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13" s="1" t="s">
        <x:v>365</x:v>
      </x:c>
      <x:c r="O113" s="1">
        <x:v>139556839000</x:v>
      </x:c>
      <x:c r="P113" s="1">
        <x:v>63605.1</x:v>
      </x:c>
      <x:c r="Q113" s="7">
        <x:v>2.1941139782816159</x:v>
      </x:c>
      <x:c r="R113" s="5">
        <x:v>2.1941139782816159</x:v>
      </x:c>
      <x:c r="S113" s="15">
        <x:v>6.15</x:v>
      </x:c>
      <x:c r="T113" s="1" t="s">
        <x:v>332</x:v>
      </x:c>
      <x:c r="U113" s="1" t="s">
        <x:v>365</x:v>
      </x:c>
      <x:c r="V113">
        <x:v>1.64</x:v>
      </x:c>
      <x:c r="W113" s="17" t="s">
        <x:v>365</x:v>
      </x:c>
      <x:c r="X113" s="17">
        <x:f t="shared" si="5"/>
        <x:v>20878790</x:v>
      </x:c>
      <x:c r="Y113" t="str">
        <x:f t="shared" si="6"/>
        <x:v>1 + 0.08 = 1.08</x:v>
      </x:c>
      <x:c r="Z113" t="str">
        <x:f t="shared" si="7"/>
        <x:v>1 + 6.57 = 7.57</x:v>
      </x:c>
    </x:row>
    <x:row r="114">
      <x:c r="A114" s="1" t="s">
        <x:v>366</x:v>
      </x:c>
      <x:c r="B114" s="1" t="s">
        <x:v>367</x:v>
      </x:c>
      <x:c r="C114" s="1" t="str">
        <x:v>Paraguay (Paraguay)</x:v>
      </x:c>
      <x:c r="D114" s="1" t="str">
        <x:v>Amérique latine</x:v>
      </x:c>
      <x:c r="E114" s="1">
        <x:v>30</x:v>
      </x:c>
      <x:c r="F114" s="1">
        <x:v>49.553179999999998</x:v>
      </x:c>
      <x:c r="G114" s="2">
        <x:v>14026143</x:v>
      </x:c>
      <x:c r="H114" s="1">
        <x:v>140261430</x:v>
      </x:c>
      <x:c r="I114" s="4">
        <x:v>1656439252.3653295</x:v>
      </x:c>
      <x:c r="J114" s="20">
        <x:f t="shared" si="4"/>
        <x:v>33.427506617442702</x:v>
      </x:c>
      <x:c r="K114" s="5">
        <x:v>33.427506617442702</x:v>
      </x:c>
      <x:c r="L114" s="10">
        <x:v>8.8351224303107969</x:v>
      </x:c>
      <x:c r="M114"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14" s="1" t="s">
        <x:v>368</x:v>
      </x:c>
      <x:c r="O114" s="1">
        <x:v>1300195403814</x:v>
      </x:c>
      <x:c r="P114" s="1">
        <x:v>39495.431570000001</x:v>
      </x:c>
      <x:c r="Q114" s="7">
        <x:v>32.920146764559078</x:v>
      </x:c>
      <x:c r="R114" s="5">
        <x:v>32.920146764559078</x:v>
      </x:c>
      <x:c r="S114" s="15">
        <x:v>6.15</x:v>
      </x:c>
      <x:c r="T114" s="1" t="s">
        <x:v>332</x:v>
      </x:c>
      <x:c r="U114" s="1" t="s">
        <x:v>368</x:v>
      </x:c>
      <x:c r="V114">
        <x:v>52.29</x:v>
      </x:c>
      <x:c r="W114" s="17" t="s">
        <x:v>368</x:v>
      </x:c>
      <x:c r="X114" s="17">
        <x:f t="shared" si="5"/>
        <x:v>49553180</x:v>
      </x:c>
      <x:c r="Y114" t="str">
        <x:f t="shared" si="6"/>
        <x:v>1 + 1.06 = 2.06</x:v>
      </x:c>
      <x:c r="Z114" t="str">
        <x:f t="shared" si="7"/>
        <x:v>1 + 33.43 = 34.43</x:v>
      </x:c>
    </x:row>
    <x:row r="115">
      <x:c r="A115" s="1" t="s">
        <x:v>369</x:v>
      </x:c>
      <x:c r="B115" s="1" t="s">
        <x:v>370</x:v>
      </x:c>
      <x:c r="C115" s="1" t="str">
        <x:v>Peru (Pérou)</x:v>
      </x:c>
      <x:c r="D115" s="1" t="str">
        <x:v>Amérique latine</x:v>
      </x:c>
      <x:c r="E115" s="1">
        <x:v>40</x:v>
      </x:c>
      <x:c r="F115" s="1">
        <x:v>100.7295</x:v>
      </x:c>
      <x:c r="G115" s="2">
        <x:v>5636388</x:v>
      </x:c>
      <x:c r="H115" s="1">
        <x:v>56363880</x:v>
      </x:c>
      <x:c r="I115" s="4">
        <x:v>361273087.25005722</x:v>
      </x:c>
      <x:c r="J115" s="20">
        <x:f t="shared" si="4"/>
        <x:v>3.5865668672043167</x:v>
      </x:c>
      <x:c r="K115" s="5">
        <x:v>3.5865668672043167</x:v>
      </x:c>
      <x:c r="L115" s="10">
        <x:v>8.8351224303107969</x:v>
      </x:c>
      <x:c r="M115"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15" s="1" t="s">
        <x:v>371</x:v>
      </x:c>
      <x:c r="O115" s="1">
        <x:v>522481894824</x:v>
      </x:c>
      <x:c r="P115" s="1">
        <x:v>223249.4975</x:v>
      </x:c>
      <x:c r="Q115" s="7">
        <x:v>2.3403497014545351</x:v>
      </x:c>
      <x:c r="R115" s="5">
        <x:v>2.3403497014545351</x:v>
      </x:c>
      <x:c r="S115" s="15">
        <x:v>6.15</x:v>
      </x:c>
      <x:c r="T115" s="1" t="s">
        <x:v>332</x:v>
      </x:c>
      <x:c r="U115" s="1" t="s">
        <x:v>371</x:v>
      </x:c>
      <x:c r="V115">
        <x:v>77.02</x:v>
      </x:c>
      <x:c r="W115" s="17" t="s">
        <x:v>371</x:v>
      </x:c>
      <x:c r="X115" s="17">
        <x:f t="shared" si="5"/>
        <x:v>100729500</x:v>
      </x:c>
      <x:c r="Y115" t="str">
        <x:f t="shared" si="6"/>
        <x:v>1 + 0.76 = 1.76</x:v>
      </x:c>
      <x:c r="Z115" t="str">
        <x:f t="shared" si="7"/>
        <x:v>1 + 3.59 = 4.59</x:v>
      </x:c>
    </x:row>
    <x:row r="116">
      <x:c r="A116" s="1" t="s">
        <x:v>372</x:v>
      </x:c>
      <x:c r="B116" s="1" t="s">
        <x:v>373</x:v>
      </x:c>
      <x:c r="C116" s="1" t="str">
        <x:v>Suriname (Suriname)</x:v>
      </x:c>
      <x:c r="D116" s="1" t="str">
        <x:v>Amérique latine</x:v>
      </x:c>
      <x:c r="E116" s="1">
        <x:v>30</x:v>
      </x:c>
      <x:c r="F116" s="1">
        <x:v>4.4592349999999996</x:v>
      </x:c>
      <x:c r="G116" s="2">
        <x:v>36620</x:v>
      </x:c>
      <x:c r="H116" s="1">
        <x:v>366200</x:v>
      </x:c>
      <x:c r="I116" s="4">
        <x:v>3335956.0637445641</x:v>
      </x:c>
      <x:c r="J116" s="20">
        <x:f t="shared" si="4"/>
        <x:v>0.74810052929360393</x:v>
      </x:c>
      <x:c r="K116" s="5">
        <x:v>0.74810052929360393</x:v>
      </x:c>
      <x:c r="L116" s="10">
        <x:v>8.8351224303107969</x:v>
      </x:c>
      <x:c r="M116"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16" s="1" t="s">
        <x:v>374</x:v>
      </x:c>
      <x:c r="O116" s="1">
        <x:v>3394600760</x:v>
      </x:c>
      <x:c r="P116" s="1">
        <x:v>2984.706244</x:v>
      </x:c>
      <x:c r="Q116" s="7">
        <x:v>1.1373316107151215</x:v>
      </x:c>
      <x:c r="R116" s="5">
        <x:v>1.1373316107151215</x:v>
      </x:c>
      <x:c r="S116" s="15">
        <x:v>6.15</x:v>
      </x:c>
      <x:c r="T116" s="1" t="s">
        <x:v>332</x:v>
      </x:c>
      <x:c r="U116" s="1" t="s">
        <x:v>374</x:v>
      </x:c>
      <x:c r="V116">
        <x:v>10.08</x:v>
      </x:c>
      <x:c r="W116" s="17" t="s">
        <x:v>374</x:v>
      </x:c>
      <x:c r="X116" s="17">
        <x:f t="shared" si="5"/>
        <x:v>4459235</x:v>
      </x:c>
      <x:c r="Y116" t="str">
        <x:f t="shared" si="6"/>
        <x:v>1 + 2.26 = 3.26</x:v>
      </x:c>
      <x:c r="Z116" t="str">
        <x:f t="shared" si="7"/>
        <x:v>1 + 0.75 = 1.75</x:v>
      </x:c>
    </x:row>
    <x:row r="117">
      <x:c r="A117" s="1" t="s">
        <x:v>375</x:v>
      </x:c>
      <x:c r="B117" s="1" t="s">
        <x:v>376</x:v>
      </x:c>
      <x:c r="C117" s="1" t="str">
        <x:v>Uruguay (Uruguay)</x:v>
      </x:c>
      <x:c r="D117" s="1" t="str">
        <x:v>Amérique latine</x:v>
      </x:c>
      <x:c r="E117" s="1">
        <x:v>30</x:v>
      </x:c>
      <x:c r="F117" s="1">
        <x:v>36.117100000000001</x:v>
      </x:c>
      <x:c r="G117" s="2">
        <x:v>11182000</x:v>
      </x:c>
      <x:c r="H117" s="1">
        <x:v>111820000</x:v>
      </x:c>
      <x:c r="I117" s="4">
        <x:v>414813745.07896543</x:v>
      </x:c>
      <x:c r="J117" s="20">
        <x:f t="shared" si="4"/>
        <x:v>11.485245080002697</x:v>
      </x:c>
      <x:c r="K117" s="5">
        <x:v>11.485245080002697</x:v>
      </x:c>
      <x:c r="L117" s="10">
        <x:v>8.8351224303107969</x:v>
      </x:c>
      <x:c r="M117"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17" s="1" t="s">
        <x:v>377</x:v>
      </x:c>
      <x:c r="O117" s="1">
        <x:v>1036549036000</x:v>
      </x:c>
      <x:c r="P117" s="1">
        <x:v>59319.484709999997</x:v>
      </x:c>
      <x:c r="Q117" s="7">
        <x:v>17.474006071823815</x:v>
      </x:c>
      <x:c r="R117" s="5">
        <x:v>17.474006071823815</x:v>
      </x:c>
      <x:c r="S117" s="15">
        <x:v>6.15</x:v>
      </x:c>
      <x:c r="T117" s="1" t="s">
        <x:v>332</x:v>
      </x:c>
      <x:c r="U117" s="1" t="s">
        <x:v>377</x:v>
      </x:c>
      <x:c r="V117">
        <x:v>0.84</x:v>
      </x:c>
      <x:c r="W117" s="17" t="s">
        <x:v>377</x:v>
      </x:c>
      <x:c r="X117" s="17">
        <x:f t="shared" si="5"/>
        <x:v>36117100</x:v>
      </x:c>
      <x:c r="Y117" t="str">
        <x:f t="shared" si="6"/>
        <x:v>1 + 0.02 = 1.02</x:v>
      </x:c>
      <x:c r="Z117" t="str">
        <x:f t="shared" si="7"/>
        <x:v>1 + 11.49 = 12.49</x:v>
      </x:c>
    </x:row>
    <x:row r="118" s="2" customFormat="1">
      <x:c r="A118" s="2" t="s">
        <x:v>378</x:v>
      </x:c>
      <x:c r="B118" s="2" t="s">
        <x:v>379</x:v>
      </x:c>
      <x:c r="C118" s="2" t="str">
        <x:v>Algeria (Algérie)</x:v>
      </x:c>
      <x:c r="D118" s="2" t="str">
        <x:v>OPEP</x:v>
      </x:c>
      <x:c r="E118" s="2">
        <x:v>20</x:v>
      </x:c>
      <x:c r="F118" s="2">
        <x:v>282.00819999999999</x:v>
      </x:c>
      <x:c r="G118" s="2">
        <x:v>1740183</x:v>
      </x:c>
      <x:c r="H118" s="2">
        <x:v>17401830</x:v>
      </x:c>
      <x:c r="I118" s="2">
        <x:v>64554804.80707828</x:v>
      </x:c>
      <x:c r="J118" s="20">
        <x:f t="shared" si="4"/>
        <x:v>0.22891109126287207</x:v>
      </x:c>
      <x:c r="K118" s="5">
        <x:v>0.22891109126287207</x:v>
      </x:c>
      <x:c r="L118" s="10">
        <x:v>1.2878034576185573</x:v>
      </x:c>
      <x:c r="M118"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18" s="2" t="s">
        <x:v>380</x:v>
      </x:c>
      <x:c r="O118" s="2">
        <x:v>161311483734</x:v>
      </x:c>
      <x:c r="P118" s="2">
        <x:v>163044.44399999999</x:v>
      </x:c>
      <x:c r="Q118" s="2">
        <x:v>0.98937123999147125</x:v>
      </x:c>
      <x:c r="R118" s="5">
        <x:v>0.98937123999147125</x:v>
      </x:c>
      <x:c r="S118" s="15">
        <x:v>1.54</x:v>
      </x:c>
      <x:c r="T118" s="2" t="s">
        <x:v>381</x:v>
      </x:c>
      <x:c r="U118" s="2" t="s">
        <x:v>380</x:v>
      </x:c>
      <x:c r="V118">
        <x:v>0.1</x:v>
      </x:c>
      <x:c r="W118" s="17" t="s">
        <x:v>380</x:v>
      </x:c>
      <x:c r="X118" s="17">
        <x:f t="shared" si="5"/>
        <x:v>282008200</x:v>
      </x:c>
      <x:c r="Y118" t="str">
        <x:f t="shared" si="6"/>
        <x:v>1 + 0.00 = 1.00</x:v>
      </x:c>
      <x:c r="Z118" t="str">
        <x:f t="shared" si="7"/>
        <x:v>1 + 0.23 = 1.23</x:v>
      </x:c>
      <x:c r="AA118" s="1"/>
      <x:c r="AB118" s="1"/>
      <x:c r="AC118" s="1"/>
      <x:c r="AD118" s="1"/>
      <x:c r="AE118" s="1"/>
    </x:row>
    <x:row r="119">
      <x:c r="A119" s="1" t="s">
        <x:v>382</x:v>
      </x:c>
      <x:c r="B119" s="1" t="s">
        <x:v>383</x:v>
      </x:c>
      <x:c r="C119" s="1" t="str">
        <x:v>Angola (Angola)</x:v>
      </x:c>
      <x:c r="D119" s="1" t="str">
        <x:v>OPEP</x:v>
      </x:c>
      <x:c r="E119" s="1">
        <x:v>20</x:v>
      </x:c>
      <x:c r="F119" s="1">
        <x:v>79.678730000000002</x:v>
      </x:c>
      <x:c r="G119" s="2">
        <x:v>5120014</x:v>
      </x:c>
      <x:c r="H119" s="1">
        <x:v>51200140</x:v>
      </x:c>
      <x:c r="I119" s="4">
        <x:v>328175289.66130692</x:v>
      </x:c>
      <x:c r="J119" s="20">
        <x:f t="shared" si="4"/>
        <x:v>4.118731431353222</x:v>
      </x:c>
      <x:c r="K119" s="5">
        <x:v>4.118731431353222</x:v>
      </x:c>
      <x:c r="L119" s="10">
        <x:v>1.2878034576185573</x:v>
      </x:c>
      <x:c r="M119"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19" s="1" t="s">
        <x:v>384</x:v>
      </x:c>
      <x:c r="O119" s="1">
        <x:v>474615057772</x:v>
      </x:c>
      <x:c r="P119" s="1">
        <x:v>67404.287259999997</x:v>
      </x:c>
      <x:c r="Q119" s="7">
        <x:v>7.0413185431552323</x:v>
      </x:c>
      <x:c r="R119" s="5">
        <x:v>7.0413185431552323</x:v>
      </x:c>
      <x:c r="S119" s="15">
        <x:v>1.54</x:v>
      </x:c>
      <x:c r="T119" s="1" t="s">
        <x:v>381</x:v>
      </x:c>
      <x:c r="U119" s="1" t="s">
        <x:v>384</x:v>
      </x:c>
      <x:c r="V119">
        <x:v>50.37</x:v>
      </x:c>
      <x:c r="W119" s="17" t="s">
        <x:v>384</x:v>
      </x:c>
      <x:c r="X119" s="17">
        <x:f t="shared" si="5"/>
        <x:v>79678730</x:v>
      </x:c>
      <x:c r="Y119" t="str">
        <x:f t="shared" si="6"/>
        <x:v>1 + 0.63 = 1.63</x:v>
      </x:c>
      <x:c r="Z119" t="str">
        <x:f t="shared" si="7"/>
        <x:v>1 + 4.12 = 5.12</x:v>
      </x:c>
    </x:row>
    <x:row r="120">
      <x:c r="A120" s="1" t="s">
        <x:v>385</x:v>
      </x:c>
      <x:c r="B120" s="1" t="s">
        <x:v>386</x:v>
      </x:c>
      <x:c r="C120" s="1" t="str">
        <x:v>Equatorial Guinea (Guinée équatoriale)</x:v>
      </x:c>
      <x:c r="D120" s="1" t="str">
        <x:v>OPEP</x:v>
      </x:c>
      <x:c r="E120" s="1">
        <x:v>20</x:v>
      </x:c>
      <x:c r="F120" s="1">
        <x:v>11.40676</x:v>
      </x:c>
      <x:c r="G120" s="2">
        <x:v>5450</x:v>
      </x:c>
      <x:c r="H120" s="1">
        <x:v>54500</x:v>
      </x:c>
      <x:c r="I120" s="4">
        <x:v>349326.25743877317</x:v>
      </x:c>
      <x:c r="J120" s="20">
        <x:f t="shared" si="4"/>
        <x:v>3.0624494373404296E-2</x:v>
      </x:c>
      <x:c r="K120" s="5">
        <x:v>3.0624494373404296E-2</x:v>
      </x:c>
      <x:c r="L120" s="10">
        <x:v>1.2878034576185573</x:v>
      </x:c>
      <x:c r="M120"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120" s="1" t="s">
        <x:v>387</x:v>
      </x:c>
      <x:c r="O120" s="1">
        <x:v>505204100</x:v>
      </x:c>
      <x:c r="P120" s="1">
        <x:v>12269.39284</x:v>
      </x:c>
      <x:c r="Q120" s="7">
        <x:v>4.1175965802721821E-2</x:v>
      </x:c>
      <x:c r="R120" s="5">
        <x:v>4.1175965802721821E-2</x:v>
      </x:c>
      <x:c r="S120" s="15">
        <x:v>1.54</x:v>
      </x:c>
      <x:c r="T120" s="1" t="s">
        <x:v>381</x:v>
      </x:c>
      <x:c r="U120" s="1" t="s">
        <x:v>387</x:v>
      </x:c>
      <x:c r="V120">
        <x:v>3.83</x:v>
      </x:c>
      <x:c r="W120" s="17" t="s">
        <x:v>387</x:v>
      </x:c>
      <x:c r="X120" s="17">
        <x:f t="shared" si="5"/>
        <x:v>11406760</x:v>
      </x:c>
      <x:c r="Y120" t="str">
        <x:f t="shared" si="6"/>
        <x:v>1 + 0.34 = 1.34</x:v>
      </x:c>
      <x:c r="Z120" t="str">
        <x:f t="shared" si="7"/>
        <x:v>1 + 0.03 = 1.03</x:v>
      </x:c>
    </x:row>
    <x:row r="121">
      <x:c r="A121" s="1" t="s">
        <x:v>388</x:v>
      </x:c>
      <x:c r="B121" s="1" t="s">
        <x:v>389</x:v>
      </x:c>
      <x:c r="C121" s="1" t="str">
        <x:v>Gabon (Gabon)</x:v>
      </x:c>
      <x:c r="D121" s="1" t="str">
        <x:v>OPEP</x:v>
      </x:c>
      <x:c r="E121" s="1">
        <x:v>20</x:v>
      </x:c>
      <x:c r="F121" s="1">
        <x:v>13.169280000000001</x:v>
      </x:c>
      <x:c r="G121" s="2">
        <x:v>39263</x:v>
      </x:c>
      <x:c r="H121" s="1">
        <x:v>392630</x:v>
      </x:c>
      <x:c r="I121" s="4">
        <x:v>3576724.2744621197</x:v>
      </x:c>
      <x:c r="J121" s="20">
        <x:f t="shared" si="4"/>
        <x:v>0.27159603823915351</x:v>
      </x:c>
      <x:c r="K121" s="5">
        <x:v>0.27159603823915351</x:v>
      </x:c>
      <x:c r="L121" s="10">
        <x:v>1.2878034576185573</x:v>
      </x:c>
      <x:c r="M12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21" s="1" t="s">
        <x:v>390</x:v>
      </x:c>
      <x:c r="O121" s="1">
        <x:v>3639601574</x:v>
      </x:c>
      <x:c r="P121" s="1">
        <x:v>20216.84317</x:v>
      </x:c>
      <x:c r="Q121" s="7">
        <x:v>0.1800281845882272</x:v>
      </x:c>
      <x:c r="R121" s="5">
        <x:v>0.1800281845882272</x:v>
      </x:c>
      <x:c r="S121" s="15">
        <x:v>1.54</x:v>
      </x:c>
      <x:c r="T121" s="1" t="s">
        <x:v>381</x:v>
      </x:c>
      <x:c r="U121" s="1" t="s">
        <x:v>390</x:v>
      </x:c>
      <x:c r="V121">
        <x:v>4.9400000000000004</x:v>
      </x:c>
      <x:c r="W121" s="17" t="s">
        <x:v>390</x:v>
      </x:c>
      <x:c r="X121" s="17">
        <x:f t="shared" si="5"/>
        <x:v>13169280</x:v>
      </x:c>
      <x:c r="Y121" t="str">
        <x:f t="shared" si="6"/>
        <x:v>1 + 0.38 = 1.38</x:v>
      </x:c>
      <x:c r="Z121" t="str">
        <x:f t="shared" si="7"/>
        <x:v>1 + 0.27 = 1.27</x:v>
      </x:c>
    </x:row>
    <x:row r="122">
      <x:c r="A122" s="1" t="s">
        <x:v>391</x:v>
      </x:c>
      <x:c r="B122" s="1" t="s">
        <x:v>392</x:v>
      </x:c>
      <x:c r="C122" s="1" t="str">
        <x:v>Iran (Iran)</x:v>
      </x:c>
      <x:c r="D122" s="1" t="str">
        <x:v>OPEP</x:v>
      </x:c>
      <x:c r="E122" s="1">
        <x:v>30</x:v>
      </x:c>
      <x:c r="F122" s="1">
        <x:v>893.72389999999996</x:v>
      </x:c>
      <x:c r="G122" s="2">
        <x:v>5323974</x:v>
      </x:c>
      <x:c r="H122" s="1">
        <x:v>53239740</x:v>
      </x:c>
      <x:c r="I122" s="4">
        <x:v>484995722.24244678</x:v>
      </x:c>
      <x:c r="J122" s="20">
        <x:f t="shared" si="4"/>
        <x:v>0.5426684037905295</x:v>
      </x:c>
      <x:c r="K122" s="5">
        <x:v>0.5426684037905295</x:v>
      </x:c>
      <x:c r="L122" s="10">
        <x:v>1.2878034576185573</x:v>
      </x:c>
      <x:c r="M12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22" s="1" t="s">
        <x:v>393</x:v>
      </x:c>
      <x:c r="O122" s="1">
        <x:v>493521741852</x:v>
      </x:c>
      <x:c r="P122" s="1">
        <x:v>359713.15269999998</x:v>
      </x:c>
      <x:c r="Q122" s="7">
        <x:v>1.3719869238798619</x:v>
      </x:c>
      <x:c r="R122" s="5">
        <x:v>1.3719869238798619</x:v>
      </x:c>
      <x:c r="S122" s="15">
        <x:v>1.54</x:v>
      </x:c>
      <x:c r="T122" s="1" t="s">
        <x:v>381</x:v>
      </x:c>
      <x:c r="U122" s="1" t="s">
        <x:v>393</x:v>
      </x:c>
      <x:c r="V122">
        <x:v>3.71</x:v>
      </x:c>
      <x:c r="W122" s="17" t="s">
        <x:v>393</x:v>
      </x:c>
      <x:c r="X122" s="17">
        <x:f t="shared" si="5"/>
        <x:v>893723900</x:v>
      </x:c>
      <x:c r="Y122" t="str">
        <x:f t="shared" si="6"/>
        <x:v>1 + 0.00 = 1.00</x:v>
      </x:c>
      <x:c r="Z122" t="str">
        <x:f t="shared" si="7"/>
        <x:v>1 + 0.54 = 1.54</x:v>
      </x:c>
    </x:row>
    <x:row r="123">
      <x:c r="A123" s="1" t="s">
        <x:v>394</x:v>
      </x:c>
      <x:c r="B123" s="1" t="s">
        <x:v>395</x:v>
      </x:c>
      <x:c r="C123" s="1" t="str">
        <x:v>Iraq (Irak)</x:v>
      </x:c>
      <x:c r="D123" s="1" t="str">
        <x:v>OPEP</x:v>
      </x:c>
      <x:c r="E123" s="1">
        <x:v>30</x:v>
      </x:c>
      <x:c r="F123" s="1">
        <x:v>320.81700000000001</x:v>
      </x:c>
      <x:c r="G123" s="2">
        <x:v>2019660</x:v>
      </x:c>
      <x:c r="H123" s="1">
        <x:v>20196600</x:v>
      </x:c>
      <x:c r="I123" s="4">
        <x:v>74922440.38509956</x:v>
      </x:c>
      <x:c r="J123" s="20">
        <x:f t="shared" si="4"/>
        <x:v>0.23353637863672921</x:v>
      </x:c>
      <x:c r="K123" s="5">
        <x:v>0.23353637863672921</x:v>
      </x:c>
      <x:c r="L123" s="10">
        <x:v>1.2878034576185573</x:v>
      </x:c>
      <x:c r="M123"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23" s="1" t="s">
        <x:v>396</x:v>
      </x:c>
      <x:c r="O123" s="1">
        <x:v>187218442680</x:v>
      </x:c>
      <x:c r="P123" s="1">
        <x:v>207889.33369999999</x:v>
      </x:c>
      <x:c r="Q123" s="7">
        <x:v>0.90056781340292491</x:v>
      </x:c>
      <x:c r="R123" s="5">
        <x:v>0.90056781340292491</x:v>
      </x:c>
      <x:c r="S123" s="15">
        <x:v>1.54</x:v>
      </x:c>
      <x:c r="T123" s="1" t="s">
        <x:v>381</x:v>
      </x:c>
      <x:c r="U123" s="1" t="s">
        <x:v>396</x:v>
      </x:c>
      <x:c r="V123">
        <x:v>10.67</x:v>
      </x:c>
      <x:c r="W123" s="17" t="s">
        <x:v>396</x:v>
      </x:c>
      <x:c r="X123" s="17">
        <x:f t="shared" si="5"/>
        <x:v>320817000</x:v>
      </x:c>
      <x:c r="Y123" t="str">
        <x:f t="shared" si="6"/>
        <x:v>1 + 0.03 = 1.03</x:v>
      </x:c>
      <x:c r="Z123" t="str">
        <x:f t="shared" si="7"/>
        <x:v>1 + 0.23 = 1.23</x:v>
      </x:c>
    </x:row>
    <x:row r="124">
      <x:c r="A124" s="1" t="s">
        <x:v>397</x:v>
      </x:c>
      <x:c r="B124" s="1" t="s">
        <x:v>398</x:v>
      </x:c>
      <x:c r="C124" s="1" t="str">
        <x:v>Kuwait (Koweït)</x:v>
      </x:c>
      <x:c r="D124" s="1" t="str">
        <x:v>OPEP</x:v>
      </x:c>
      <x:c r="E124" s="1">
        <x:v>30</x:v>
      </x:c>
      <x:c r="F124" s="1">
        <x:v>136.6919</x:v>
      </x:c>
      <x:c r="G124" s="2">
        <x:v>31484</x:v>
      </x:c>
      <x:c r="H124" s="1">
        <x:v>314840</x:v>
      </x:c>
      <x:c r="I124" s="4">
        <x:v>1167948.1264591441</x:v>
      </x:c>
      <x:c r="J124" s="20">
        <x:f t="shared" si="4"/>
        <x:v>8.5443843158164029E-3</x:v>
      </x:c>
      <x:c r="K124" s="5">
        <x:v>8.5443843158164029E-3</x:v>
      </x:c>
      <x:c r="L124" s="10">
        <x:v>1.2878034576185573</x:v>
      </x:c>
      <x:c r="M124"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124" s="1" t="s">
        <x:v>399</x:v>
      </x:c>
      <x:c r="O124" s="1">
        <x:v>2918503832</x:v>
      </x:c>
      <x:c r="P124" s="1">
        <x:v>106000</x:v>
      </x:c>
      <x:c r="Q124" s="7">
        <x:v>2.7533055018867925E-2</x:v>
      </x:c>
      <x:c r="R124" s="5">
        <x:v>2.7533055018867925E-2</x:v>
      </x:c>
      <x:c r="S124" s="15">
        <x:v>1.54</x:v>
      </x:c>
      <x:c r="T124" s="1" t="s">
        <x:v>381</x:v>
      </x:c>
      <x:c r="U124" s="1" t="s">
        <x:v>399</x:v>
      </x:c>
      <x:c r="V124">
        <x:v>0</x:v>
      </x:c>
      <x:c r="W124" s="17" t="s">
        <x:v>399</x:v>
      </x:c>
      <x:c r="X124" s="17">
        <x:f t="shared" si="5"/>
        <x:v>136691900</x:v>
      </x:c>
      <x:c r="Y124" t="str">
        <x:f t="shared" si="6"/>
        <x:v>1 + 0.00 = 1.00</x:v>
      </x:c>
      <x:c r="Z124" t="str">
        <x:f t="shared" si="7"/>
        <x:v>1 + 0.01 = 1.01</x:v>
      </x:c>
    </x:row>
    <x:row r="125">
      <x:c r="A125" s="1" t="s">
        <x:v>400</x:v>
      </x:c>
      <x:c r="B125" s="1" t="s">
        <x:v>401</x:v>
      </x:c>
      <x:c r="C125" s="1" t="str">
        <x:v>Libya (Libye)</x:v>
      </x:c>
      <x:c r="D125" s="1" t="str">
        <x:v>OPEP</x:v>
      </x:c>
      <x:c r="E125" s="1">
        <x:v>30</x:v>
      </x:c>
      <x:c r="F125" s="1">
        <x:v>126.68510000000001</x:v>
      </x:c>
      <x:c r="G125" s="2">
        <x:v>218262</x:v>
      </x:c>
      <x:c r="H125" s="1">
        <x:v>2182620</x:v>
      </x:c>
      <x:c r="I125" s="4">
        <x:v>8096769.5965323877</x:v>
      </x:c>
      <x:c r="J125" s="20">
        <x:f t="shared" si="4"/>
        <x:v>6.3912564275770301E-2</x:v>
      </x:c>
      <x:c r="K125" s="5">
        <x:v>6.3912564275770301E-2</x:v>
      </x:c>
      <x:c r="L125" s="10">
        <x:v>1.2878034576185573</x:v>
      </x:c>
      <x:c r="M125"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125" s="1" t="s">
        <x:v>402</x:v>
      </x:c>
      <x:c r="O125" s="1">
        <x:v>20232450876</x:v>
      </x:c>
      <x:c r="P125" s="1">
        <x:v>42817.472979999999</x:v>
      </x:c>
      <x:c r="Q125" s="7">
        <x:v>0.47252790666676098</x:v>
      </x:c>
      <x:c r="R125" s="5">
        <x:v>0.47252790666676098</x:v>
      </x:c>
      <x:c r="S125" s="15">
        <x:v>1.54</x:v>
      </x:c>
      <x:c r="T125" s="1" t="s">
        <x:v>381</x:v>
      </x:c>
      <x:c r="U125" s="1" t="s">
        <x:v>402</x:v>
      </x:c>
      <x:c r="V125">
        <x:v>0.04</x:v>
      </x:c>
      <x:c r="W125" s="17" t="s">
        <x:v>402</x:v>
      </x:c>
      <x:c r="X125" s="17">
        <x:f t="shared" si="5"/>
        <x:v>126685100</x:v>
      </x:c>
      <x:c r="Y125" t="str">
        <x:f t="shared" si="6"/>
        <x:v>1 + 0.00 = 1.00</x:v>
      </x:c>
      <x:c r="Z125" t="str">
        <x:f t="shared" si="7"/>
        <x:v>1 + 0.06 = 1.06</x:v>
      </x:c>
    </x:row>
    <x:row r="126">
      <x:c r="A126" s="1" t="s">
        <x:v>403</x:v>
      </x:c>
      <x:c r="B126" s="1" t="s">
        <x:v>404</x:v>
      </x:c>
      <x:c r="C126" s="1" t="str">
        <x:v>Nigeria (Nigéria)</x:v>
      </x:c>
      <x:c r="D126" s="1" t="str">
        <x:v>OPEP</x:v>
      </x:c>
      <x:c r="E126" s="1">
        <x:v>30</x:v>
      </x:c>
      <x:c r="F126" s="1">
        <x:v>308.1798</x:v>
      </x:c>
      <x:c r="G126" s="2">
        <x:v>20744892</x:v>
      </x:c>
      <x:c r="H126" s="1">
        <x:v>207448920</x:v>
      </x:c>
      <x:c r="I126" s="4">
        <x:v>1889788319.4736781</x:v>
      </x:c>
      <x:c r="J126" s="20">
        <x:f t="shared" si="4"/>
        <x:v>6.1320966509605048</x:v>
      </x:c>
      <x:c r="K126" s="5">
        <x:v>6.1320966509605048</x:v>
      </x:c>
      <x:c r="L126" s="10">
        <x:v>1.2878034576185573</x:v>
      </x:c>
      <x:c r="M126"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26" s="1" t="s">
        <x:v>405</x:v>
      </x:c>
      <x:c r="O126" s="1">
        <x:v>1923009998616</x:v>
      </x:c>
      <x:c r="P126" s="1">
        <x:v>440833.58399999997</x:v>
      </x:c>
      <x:c r="Q126" s="7">
        <x:v>4.3622130173639402</x:v>
      </x:c>
      <x:c r="R126" s="5">
        <x:v>4.3622130173639402</x:v>
      </x:c>
      <x:c r="S126" s="15">
        <x:v>1.54</x:v>
      </x:c>
      <x:c r="T126" s="1" t="s">
        <x:v>381</x:v>
      </x:c>
      <x:c r="U126" s="1" t="s">
        <x:v>405</x:v>
      </x:c>
      <x:c r="V126">
        <x:v>35.99</x:v>
      </x:c>
      <x:c r="W126" s="17" t="s">
        <x:v>405</x:v>
      </x:c>
      <x:c r="X126" s="17">
        <x:f t="shared" si="5"/>
        <x:v>308179800</x:v>
      </x:c>
      <x:c r="Y126" t="str">
        <x:f t="shared" si="6"/>
        <x:v>1 + 0.12 = 1.12</x:v>
      </x:c>
      <x:c r="Z126" t="str">
        <x:f t="shared" si="7"/>
        <x:v>1 + 6.13 = 7.13</x:v>
      </x:c>
    </x:row>
    <x:row r="127">
      <x:c r="A127" s="1" t="s">
        <x:v>406</x:v>
      </x:c>
      <x:c r="B127" s="1" t="s">
        <x:v>407</x:v>
      </x:c>
      <x:c r="C127" s="1" t="str">
        <x:v>Republic of the Congo (République du Congo)</x:v>
      </x:c>
      <x:c r="D127" s="1" t="str">
        <x:v>OPEP</x:v>
      </x:c>
      <x:c r="E127" s="1">
        <x:v>40</x:v>
      </x:c>
      <x:c r="F127" s="1">
        <x:v>19.197980000000001</x:v>
      </x:c>
      <x:c r="G127" s="2">
        <x:v>351997</x:v>
      </x:c>
      <x:c r="H127" s="1">
        <x:v>3519970</x:v>
      </x:c>
      <x:c r="I127" s="4">
        <x:v>13057878.181591898</x:v>
      </x:c>
      <x:c r="J127" s="20">
        <x:f t="shared" si="4"/>
        <x:v>0.68016938144491756</x:v>
      </x:c>
      <x:c r="K127" s="5">
        <x:v>0.68016938144491756</x:v>
      </x:c>
      <x:c r="L127" s="10">
        <x:v>1.2878034576185573</x:v>
      </x:c>
      <x:c r="M127"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27" s="1" t="s">
        <x:v>408</x:v>
      </x:c>
      <x:c r="O127" s="1">
        <x:v>32629417906</x:v>
      </x:c>
      <x:c r="P127" s="1">
        <x:v>13366.230219999999</x:v>
      </x:c>
      <x:c r="Q127" s="7">
        <x:v>2.4411832931903517</x:v>
      </x:c>
      <x:c r="R127" s="5">
        <x:v>2.4411832931903517</x:v>
      </x:c>
      <x:c r="S127" s="15">
        <x:v>1.54</x:v>
      </x:c>
      <x:c r="T127" s="1" t="s">
        <x:v>381</x:v>
      </x:c>
      <x:c r="U127" s="1" t="s">
        <x:v>408</x:v>
      </x:c>
      <x:c r="V127">
        <x:v>16.559999999999999</x:v>
      </x:c>
      <x:c r="W127" s="17" t="s">
        <x:v>409</x:v>
      </x:c>
      <x:c r="X127" s="17">
        <x:f t="shared" si="5"/>
        <x:v>19197980</x:v>
      </x:c>
      <x:c r="Y127" t="str">
        <x:f t="shared" si="6"/>
        <x:v>1 + 0.86 = 1.86</x:v>
      </x:c>
      <x:c r="Z127" t="str">
        <x:f t="shared" si="7"/>
        <x:v>1 + 0.68 = 1.68</x:v>
      </x:c>
    </x:row>
    <x:row r="128">
      <x:c r="A128" s="1" t="s">
        <x:v>410</x:v>
      </x:c>
      <x:c r="B128" s="1" t="s">
        <x:v>411</x:v>
      </x:c>
      <x:c r="C128" s="1" t="str">
        <x:v>Saudi Arabia (Arabie saoudite)</x:v>
      </x:c>
      <x:c r="D128" s="1" t="str">
        <x:v>OPEP</x:v>
      </x:c>
      <x:c r="E128" s="1">
        <x:v>30</x:v>
      </x:c>
      <x:c r="F128" s="1">
        <x:v>723.14790000000005</x:v>
      </x:c>
      <x:c r="G128" s="2">
        <x:v>700000</x:v>
      </x:c>
      <x:c r="H128" s="1">
        <x:v>7000000</x:v>
      </x:c>
      <x:c r="I128" s="4">
        <x:v>44867592.698558025</x:v>
      </x:c>
      <x:c r="J128" s="20">
        <x:f t="shared" si="4"/>
        <x:v>6.2044835777795973E-2</x:v>
      </x:c>
      <x:c r="K128" s="5">
        <x:v>6.2044835777795973E-2</x:v>
      </x:c>
      <x:c r="L128" s="10">
        <x:v>1.2878034576185573</x:v>
      </x:c>
      <x:c r="M128"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128" s="1" t="s">
        <x:v>412</x:v>
      </x:c>
      <x:c r="O128" s="1">
        <x:v>64888600000</x:v>
      </x:c>
      <x:c r="P128" s="1">
        <x:v>833541.23659999995</x:v>
      </x:c>
      <x:c r="Q128" s="7">
        <x:v>7.7846898450614696E-2</x:v>
      </x:c>
      <x:c r="R128" s="5">
        <x:v>7.7846898450614696E-2</x:v>
      </x:c>
      <x:c r="S128" s="15">
        <x:v>1.54</x:v>
      </x:c>
      <x:c r="T128" s="1" t="s">
        <x:v>381</x:v>
      </x:c>
      <x:c r="U128" s="1" t="s">
        <x:v>412</x:v>
      </x:c>
      <x:c r="V128">
        <x:v>0</x:v>
      </x:c>
      <x:c r="W128" s="17" t="s">
        <x:v>412</x:v>
      </x:c>
      <x:c r="X128" s="17">
        <x:f t="shared" si="5"/>
        <x:v>723147900</x:v>
      </x:c>
      <x:c r="Y128" t="str">
        <x:f t="shared" si="6"/>
        <x:v>1 + 0.00 = 1.00</x:v>
      </x:c>
      <x:c r="Z128" t="str">
        <x:f t="shared" si="7"/>
        <x:v>1 + 0.06 = 1.06</x:v>
      </x:c>
    </x:row>
    <x:row r="129">
      <x:c r="A129" s="1" t="s">
        <x:v>413</x:v>
      </x:c>
      <x:c r="B129" s="1" t="s">
        <x:v>414</x:v>
      </x:c>
      <x:c r="C129" s="1" t="str">
        <x:v>United Arab Emirates (Émirats arabes unis)</x:v>
      </x:c>
      <x:c r="D129" s="1" t="str">
        <x:v>OPEP</x:v>
      </x:c>
      <x:c r="E129" s="1">
        <x:v>30</x:v>
      </x:c>
      <x:c r="F129" s="1">
        <x:v>243.54669999999999</x:v>
      </x:c>
      <x:c r="G129" s="2">
        <x:v>98875</x:v>
      </x:c>
      <x:c r="H129" s="1">
        <x:v>988750</x:v>
      </x:c>
      <x:c r="I129" s="4">
        <x:v>3667922.4686713205</x:v>
      </x:c>
      <x:c r="J129" s="20">
        <x:f t="shared" si="4"/>
        <x:v>1.5060448237119699E-2</x:v>
      </x:c>
      <x:c r="K129" s="5">
        <x:v>1.5060448237119699E-2</x:v>
      </x:c>
      <x:c r="L129" s="10">
        <x:v>1.2878034576185573</x:v>
      </x:c>
      <x:c r="M129"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129" s="1" t="s">
        <x:v>415</x:v>
      </x:c>
      <x:c r="O129" s="1">
        <x:v>9165514750</x:v>
      </x:c>
      <x:c r="P129" s="1">
        <x:v>415021.5907</x:v>
      </x:c>
      <x:c r="Q129" s="7">
        <x:v>2.2084428751142561E-2</x:v>
      </x:c>
      <x:c r="R129" s="5">
        <x:v>2.2084428751142561E-2</x:v>
      </x:c>
      <x:c r="S129" s="15">
        <x:v>1.54</x:v>
      </x:c>
      <x:c r="T129" s="1" t="s">
        <x:v>381</x:v>
      </x:c>
      <x:c r="U129" s="1" t="s">
        <x:v>415</x:v>
      </x:c>
      <x:c r="V129">
        <x:v>-0.06</x:v>
      </x:c>
      <x:c r="W129" s="17" t="s">
        <x:v>415</x:v>
      </x:c>
      <x:c r="X129" s="17">
        <x:f t="shared" si="5"/>
        <x:v>243546700</x:v>
      </x:c>
      <x:c r="Y129" t="str">
        <x:f t="shared" si="6"/>
        <x:v>1 + 0.00 = 1.00</x:v>
      </x:c>
      <x:c r="Z129" t="str">
        <x:f t="shared" si="7"/>
        <x:v>1 + 0.02 = 1.02</x:v>
      </x:c>
    </x:row>
    <x:row r="130">
      <x:c r="A130" s="1" t="s">
        <x:v>416</x:v>
      </x:c>
      <x:c r="B130" s="1" t="s">
        <x:v>417</x:v>
      </x:c>
      <x:c r="C130" s="1" t="str">
        <x:v>Venezuela (Venezuela)</x:v>
      </x:c>
      <x:c r="D130" s="1" t="str">
        <x:v>OPEP</x:v>
      </x:c>
      <x:c r="E130" s="1">
        <x:v>30</x:v>
      </x:c>
      <x:c r="F130" s="1">
        <x:v>255.74449999999999</x:v>
      </x:c>
      <x:c r="G130" s="2">
        <x:v>16239223</x:v>
      </x:c>
      <x:c r="H130" s="1">
        <x:v>162392230</x:v>
      </x:c>
      <x:c r="I130" s="4">
        <x:v>1479337368.5786507</x:v>
      </x:c>
      <x:c r="J130" s="20">
        <x:f t="shared" si="4"/>
        <x:v>5.7844347330192853</x:v>
      </x:c>
      <x:c r="K130" s="5">
        <x:v>5.7844347330192853</x:v>
      </x:c>
      <x:c r="L130" s="10">
        <x:v>1.2878034576185573</x:v>
      </x:c>
      <x:c r="M130"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30" s="1" t="s">
        <x:v>418</x:v>
      </x:c>
      <x:c r="O130" s="1">
        <x:v>1505343493654</x:v>
      </x:c>
      <x:c r="P130" s="1">
        <x:v>482400</x:v>
      </x:c>
      <x:c r="Q130" s="7">
        <x:v>3.1205296302943615</x:v>
      </x:c>
      <x:c r="R130" s="5">
        <x:v>3.1205296302943615</x:v>
      </x:c>
      <x:c r="S130" s="15">
        <x:v>1.54</x:v>
      </x:c>
      <x:c r="T130" s="1" t="s">
        <x:v>381</x:v>
      </x:c>
      <x:c r="U130" s="1" t="s">
        <x:v>418</x:v>
      </x:c>
      <x:c r="V130">
        <x:v>53.95</x:v>
      </x:c>
      <x:c r="W130" s="17" t="s">
        <x:v>418</x:v>
      </x:c>
      <x:c r="X130" s="17">
        <x:f t="shared" si="5"/>
        <x:v>255744500</x:v>
      </x:c>
      <x:c r="Y130" t="str">
        <x:f t="shared" si="6"/>
        <x:v>1 + 0.21 = 1.21</x:v>
      </x:c>
      <x:c r="Z130" t="str">
        <x:f t="shared" si="7"/>
        <x:v>1 + 5.78 = 6.78</x:v>
      </x:c>
    </x:row>
    <x:row r="131" s="2" customFormat="1">
      <x:c r="A131" s="2" t="s">
        <x:v>419</x:v>
      </x:c>
      <x:c r="B131" s="2" t="s">
        <x:v>420</x:v>
      </x:c>
      <x:c r="C131" s="2" t="str">
        <x:v>Albania (Albanie)</x:v>
      </x:c>
      <x:c r="D131" s="2" t="str">
        <x:v>46 autres pays</x:v>
      </x:c>
      <x:c r="E131" s="2">
        <x:v>20</x:v>
      </x:c>
      <x:c r="F131" s="2">
        <x:v>9.008165</x:v>
      </x:c>
      <x:c r="G131" s="2">
        <x:v>362583</x:v>
      </x:c>
      <x:c r="H131" s="2">
        <x:v>3625830</x:v>
      </x:c>
      <x:c r="I131" s="2">
        <x:v>23240323.376316089</x:v>
      </x:c>
      <x:c r="J131" s="20" t="n">
        <x:f t="shared" ref="J131:J194" si="8">K131</x:f>
        <x:v>2.5799175943509125</x:v>
      </x:c>
      <x:c r="K131" s="5">
        <x:v>2.5799175943509125</x:v>
      </x:c>
      <x:c r="L131" s="10">
        <x:v>4.589286637182914</x:v>
      </x:c>
      <x:c r="M13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31" s="2" t="s">
        <x:v>421</x:v>
      </x:c>
      <x:c r="O131" s="2">
        <x:v>33610718934</x:v>
      </x:c>
      <x:c r="P131" s="2">
        <x:v>18255.787479999999</x:v>
      </x:c>
      <x:c r="Q131" s="2">
        <x:v>1.8410993757909369</x:v>
      </x:c>
      <x:c r="R131" s="5">
        <x:v>1.8410993757909369</x:v>
      </x:c>
      <x:c r="S131" s="15">
        <x:v>1.47</x:v>
      </x:c>
      <x:c r="T131" s="2" t="s">
        <x:v>422</x:v>
      </x:c>
      <x:c r="U131" s="2" t="s">
        <x:v>421</x:v>
      </x:c>
      <x:c r="V131">
        <x:v>-0.65</x:v>
      </x:c>
      <x:c r="W131" s="17" t="s">
        <x:v>421</x:v>
      </x:c>
      <x:c r="X131" s="17" t="n">
        <x:f t="shared" ref="X131:X194" si="9">F131*1000000</x:f>
        <x:v>9008165</x:v>
      </x:c>
      <x:c r="Y131" t="str">
        <x:f t="shared" ref="Y131:Y194" si="10">"1 + " &amp; TEXT(V131/F131, "0.00") &amp; " = " &amp; TEXT(1 + (V131/F131), "0.00")</x:f>
        <x:v>1 + -0.07 = 0.93</x:v>
      </x:c>
      <x:c r="Z131" t="str">
        <x:f t="shared" ref="Z131:Z193" si="11">"1 + " &amp; TEXT(I131/X131, "0.00") &amp; " = " &amp; TEXT(1 + (I131/X131), "0.00")</x:f>
        <x:v>1 + 2.58 = 3.58</x:v>
      </x:c>
      <x:c r="AA131" s="1"/>
      <x:c r="AB131" s="1"/>
      <x:c r="AC131" s="1"/>
      <x:c r="AD131" s="1"/>
      <x:c r="AE131" s="1"/>
    </x:row>
    <x:row r="132">
      <x:c r="A132" s="1" t="s">
        <x:v>423</x:v>
      </x:c>
      <x:c r="B132" s="1" t="s">
        <x:v>424</x:v>
      </x:c>
      <x:c r="C132" s="1" t="str">
        <x:v>Andorra (Andorre)</x:v>
      </x:c>
      <x:c r="D132" s="1" t="str">
        <x:v>46 autres pays</x:v>
      </x:c>
      <x:c r="E132" s="1">
        <x:v>10</x:v>
      </x:c>
      <x:c r="F132" s="1">
        <x:v>0.62758000000000003</x:v>
      </x:c>
      <x:c r="G132" s="2">
        <x:v>851</x:v>
      </x:c>
      <x:c r="H132" s="1">
        <x:v>8510</x:v>
      </x:c>
      <x:c r="I132" s="4">
        <x:v>54546.173409246971</x:v>
      </x:c>
      <x:c r="J132" s="20">
        <x:f t="shared" si="8"/>
        <x:v>8.6915091955204068E-2</x:v>
      </x:c>
      <x:c r="K132" s="5">
        <x:v>8.6915091955204068E-2</x:v>
      </x:c>
      <x:c r="L132" s="10">
        <x:v>4.589286637182914</x:v>
      </x:c>
      <x:c r="M132"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132" s="1" t="s">
        <x:v>425</x:v>
      </x:c>
      <x:c r="O132" s="1">
        <x:v>78885998</x:v>
      </x:c>
      <x:c r="P132" s="1">
        <x:v>3330.281524</x:v>
      </x:c>
      <x:c r="Q132" s="7">
        <x:v>2.3687486307538967E-2</x:v>
      </x:c>
      <x:c r="R132" s="5">
        <x:v>2.3687486307538967E-2</x:v>
      </x:c>
      <x:c r="S132" s="15">
        <x:v>1.47</x:v>
      </x:c>
      <x:c r="T132" s="1" t="s">
        <x:v>422</x:v>
      </x:c>
      <x:c r="U132" s="1" t="s">
        <x:v>425</x:v>
      </x:c>
      <x:c r="V132">
        <x:v>0.01</x:v>
      </x:c>
      <x:c r="W132" s="17" t="s">
        <x:v>425</x:v>
      </x:c>
      <x:c r="X132" s="17">
        <x:f t="shared" si="9"/>
        <x:v>627580</x:v>
      </x:c>
      <x:c r="Y132" t="str">
        <x:f t="shared" si="10"/>
        <x:v>1 + 0.02 = 1.02</x:v>
      </x:c>
      <x:c r="Z132" t="str">
        <x:f t="shared" si="11"/>
        <x:v>1 + 0.09 = 1.09</x:v>
      </x:c>
    </x:row>
    <x:row r="133">
      <x:c r="A133" s="1" t="s">
        <x:v>426</x:v>
      </x:c>
      <x:c r="B133" s="1" t="s">
        <x:v>427</x:v>
      </x:c>
      <x:c r="C133" s="1" t="str">
        <x:v>Antigua and Barbuda (Antigua-et-Barbuda)</x:v>
      </x:c>
      <x:c r="D133" s="1" t="str">
        <x:v>46 autres pays</x:v>
      </x:c>
      <x:c r="E133" s="1">
        <x:v>20</x:v>
      </x:c>
      <x:c r="F133" s="1">
        <x:v>1.217041</x:v>
      </x:c>
      <x:c r="G133" s="2">
        <x:v>4509</x:v>
      </x:c>
      <x:c r="H133" s="1">
        <x:v>45090</x:v>
      </x:c>
      <x:c r="I133" s="4">
        <x:v>410754.3935397116</x:v>
      </x:c>
      <x:c r="J133" s="20">
        <x:f t="shared" si="8"/>
        <x:v>0.33750251104088652</x:v>
      </x:c>
      <x:c r="K133" s="5">
        <x:v>0.33750251104088652</x:v>
      </x:c>
      <x:c r="L133" s="10">
        <x:v>4.589286637182914</x:v>
      </x:c>
      <x:c r="M133"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33" s="1" t="s">
        <x:v>428</x:v>
      </x:c>
      <x:c r="O133" s="1">
        <x:v>417975282</x:v>
      </x:c>
      <x:c r="P133" s="1">
        <x:v>1471.1259259999999</x:v>
      </x:c>
      <x:c r="Q133" s="7">
        <x:v>0.28411930930785595</x:v>
      </x:c>
      <x:c r="R133" s="5">
        <x:v>0.28411930930785595</x:v>
      </x:c>
      <x:c r="S133" s="15">
        <x:v>1.47</x:v>
      </x:c>
      <x:c r="T133" s="1" t="s">
        <x:v>422</x:v>
      </x:c>
      <x:c r="U133" s="1" t="s">
        <x:v>428</x:v>
      </x:c>
      <x:c r="V133">
        <x:v>0.03</x:v>
      </x:c>
      <x:c r="W133" s="17" t="s">
        <x:v>428</x:v>
      </x:c>
      <x:c r="X133" s="17">
        <x:f t="shared" si="9"/>
        <x:v>1217041</x:v>
      </x:c>
      <x:c r="Y133" t="str">
        <x:f t="shared" si="10"/>
        <x:v>1 + 0.02 = 1.02</x:v>
      </x:c>
      <x:c r="Z133" t="str">
        <x:f t="shared" si="11"/>
        <x:v>1 + 0.34 = 1.34</x:v>
      </x:c>
    </x:row>
    <x:row r="134">
      <x:c r="A134" s="1" t="s">
        <x:v>429</x:v>
      </x:c>
      <x:c r="B134" s="1" t="s">
        <x:v>430</x:v>
      </x:c>
      <x:c r="C134" s="1" t="str">
        <x:v>Bahamas (Bahamas)</x:v>
      </x:c>
      <x:c r="D134" s="1" t="str">
        <x:v>46 autres pays</x:v>
      </x:c>
      <x:c r="E134" s="1">
        <x:v>20</x:v>
      </x:c>
      <x:c r="F134" s="1">
        <x:v>3.1621540000000001</x:v>
      </x:c>
      <x:c r="G134" s="2">
        <x:v>781</x:v>
      </x:c>
      <x:c r="H134" s="1">
        <x:v>7810</x:v>
      </x:c>
      <x:c r="I134" s="4">
        <x:v>71146.41413939117</x:v>
      </x:c>
      <x:c r="J134" s="20">
        <x:f t="shared" si="8"/>
        <x:v>2.249935143556929E-2</x:v>
      </x:c>
      <x:c r="K134" s="5">
        <x:v>2.249935143556929E-2</x:v>
      </x:c>
      <x:c r="L134" s="10">
        <x:v>4.589286637182914</x:v>
      </x:c>
      <x:c r="M134"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134" s="1" t="s">
        <x:v>431</x:v>
      </x:c>
      <x:c r="O134" s="1">
        <x:v>72397138</x:v>
      </x:c>
      <x:c r="P134" s="1">
        <x:v>11208.6</x:v>
      </x:c>
      <x:c r="Q134" s="7">
        <x:v>6.459070535124815E-3</x:v>
      </x:c>
      <x:c r="R134" s="5">
        <x:v>6.459070535124815E-3</x:v>
      </x:c>
      <x:c r="S134" s="15">
        <x:v>1.47</x:v>
      </x:c>
      <x:c r="T134" s="1" t="s">
        <x:v>422</x:v>
      </x:c>
      <x:c r="U134" s="1" t="s">
        <x:v>431</x:v>
      </x:c>
      <x:c r="V134">
        <x:v>0.02</x:v>
      </x:c>
      <x:c r="W134" s="17" t="s">
        <x:v>431</x:v>
      </x:c>
      <x:c r="X134" s="17">
        <x:f t="shared" si="9"/>
        <x:v>3162154</x:v>
      </x:c>
      <x:c r="Y134" t="str">
        <x:f t="shared" si="10"/>
        <x:v>1 + 0.01 = 1.01</x:v>
      </x:c>
      <x:c r="Z134" t="str">
        <x:f t="shared" si="11"/>
        <x:v>1 + 0.02 = 1.02</x:v>
      </x:c>
    </x:row>
    <x:row r="135">
      <x:c r="A135" s="1" t="s">
        <x:v>432</x:v>
      </x:c>
      <x:c r="B135" s="1" t="s">
        <x:v>433</x:v>
      </x:c>
      <x:c r="C135" s="1" t="str">
        <x:v>Barbados (Barbade)</x:v>
      </x:c>
      <x:c r="D135" s="1" t="str">
        <x:v>46 autres pays</x:v>
      </x:c>
      <x:c r="E135" s="1">
        <x:v>30</x:v>
      </x:c>
      <x:c r="F135" s="1">
        <x:v>3.793393</x:v>
      </x:c>
      <x:c r="G135" s="2">
        <x:v>11986</x:v>
      </x:c>
      <x:c r="H135" s="1">
        <x:v>119860</x:v>
      </x:c>
      <x:c r="I135" s="4">
        <x:v>1091883.3801213093</x:v>
      </x:c>
      <x:c r="J135" s="20">
        <x:f t="shared" si="8"/>
        <x:v>0.28783819132932159</x:v>
      </x:c>
      <x:c r="K135" s="5">
        <x:v>0.28783819132932159</x:v>
      </x:c>
      <x:c r="L135" s="10">
        <x:v>4.589286637182914</x:v>
      </x:c>
      <x:c r="M135"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35" s="1" t="s">
        <x:v>434</x:v>
      </x:c>
      <x:c r="O135" s="1">
        <x:v>1111078228</x:v>
      </x:c>
      <x:c r="P135" s="1">
        <x:v>4843.8</x:v>
      </x:c>
      <x:c r="Q135" s="7">
        <x:v>0.22938152442297369</x:v>
      </x:c>
      <x:c r="R135" s="5">
        <x:v>0.22938152442297369</x:v>
      </x:c>
      <x:c r="S135" s="15">
        <x:v>1.47</x:v>
      </x:c>
      <x:c r="T135" s="1" t="s">
        <x:v>422</x:v>
      </x:c>
      <x:c r="U135" s="1" t="s">
        <x:v>434</x:v>
      </x:c>
      <x:c r="V135">
        <x:v>0</x:v>
      </x:c>
      <x:c r="W135" s="17" t="s">
        <x:v>434</x:v>
      </x:c>
      <x:c r="X135" s="17">
        <x:f t="shared" si="9"/>
        <x:v>3793393</x:v>
      </x:c>
      <x:c r="Y135" t="str">
        <x:f t="shared" si="10"/>
        <x:v>1 + 0.00 = 1.00</x:v>
      </x:c>
      <x:c r="Z135" t="str">
        <x:f t="shared" si="11"/>
        <x:v>1 + 0.29 = 1.29</x:v>
      </x:c>
    </x:row>
    <x:row r="136">
      <x:c r="A136" s="1" t="s">
        <x:v>435</x:v>
      </x:c>
      <x:c r="B136" s="1" t="s">
        <x:v>436</x:v>
      </x:c>
      <x:c r="C136" s="1" t="str">
        <x:v>Belarus (Biélorussie)</x:v>
      </x:c>
      <x:c r="D136" s="1" t="str">
        <x:v>46 autres pays</x:v>
      </x:c>
      <x:c r="E136" s="1">
        <x:v>30</x:v>
      </x:c>
      <x:c r="F136" s="1">
        <x:v>86.834950000000006</x:v>
      </x:c>
      <x:c r="G136" s="2">
        <x:v>4292400</x:v>
      </x:c>
      <x:c r="H136" s="1">
        <x:v>42924000</x:v>
      </x:c>
      <x:c r="I136" s="4">
        <x:v>275128078.42755783</x:v>
      </x:c>
      <x:c r="J136" s="20">
        <x:f t="shared" si="8"/>
        <x:v>3.1684025663348434</x:v>
      </x:c>
      <x:c r="K136" s="5">
        <x:v>3.1684025663348434</x:v>
      </x:c>
      <x:c r="L136" s="10">
        <x:v>4.589286637182914</x:v>
      </x:c>
      <x:c r="M136"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36" s="1" t="s">
        <x:v>437</x:v>
      </x:c>
      <x:c r="O136" s="1">
        <x:v>397896895200</x:v>
      </x:c>
      <x:c r="P136" s="1">
        <x:v>68205.380709999998</x:v>
      </x:c>
      <x:c r="Q136" s="7">
        <x:v>5.8338050613895618</x:v>
      </x:c>
      <x:c r="R136" s="5">
        <x:v>5.8338050613895618</x:v>
      </x:c>
      <x:c r="S136" s="15">
        <x:v>1.47</x:v>
      </x:c>
      <x:c r="T136" s="1" t="s">
        <x:v>422</x:v>
      </x:c>
      <x:c r="U136" s="1" t="s">
        <x:v>437</x:v>
      </x:c>
      <x:c r="V136">
        <x:v>0.47</x:v>
      </x:c>
      <x:c r="W136" s="17" t="s">
        <x:v>437</x:v>
      </x:c>
      <x:c r="X136" s="17">
        <x:f t="shared" si="9"/>
        <x:v>86834950</x:v>
      </x:c>
      <x:c r="Y136" t="str">
        <x:f t="shared" si="10"/>
        <x:v>1 + 0.01 = 1.01</x:v>
      </x:c>
      <x:c r="Z136" t="str">
        <x:f t="shared" si="11"/>
        <x:v>1 + 3.17 = 4.17</x:v>
      </x:c>
    </x:row>
    <x:row r="137">
      <x:c r="A137" s="1" t="s">
        <x:v>438</x:v>
      </x:c>
      <x:c r="B137" s="1" t="s">
        <x:v>439</x:v>
      </x:c>
      <x:c r="C137" s="1" t="str">
        <x:v>Bosnia and Herzegovina (Bosnie-Herzégovine)</x:v>
      </x:c>
      <x:c r="D137" s="1" t="str">
        <x:v>46 autres pays</x:v>
      </x:c>
      <x:c r="E137" s="1">
        <x:v>20</x:v>
      </x:c>
      <x:c r="F137" s="1">
        <x:v>26.230779999999999</x:v>
      </x:c>
      <x:c r="G137" s="2">
        <x:v>427461</x:v>
      </x:c>
      <x:c r="H137" s="1">
        <x:v>4274610</x:v>
      </x:c>
      <x:c r="I137" s="4">
        <x:v>27398780.060740445</x:v>
      </x:c>
      <x:c r="J137" s="20">
        <x:f t="shared" si="8"/>
        <x:v>1.0445278432719287</x:v>
      </x:c>
      <x:c r="K137" s="5">
        <x:v>1.0445278432719287</x:v>
      </x:c>
      <x:c r="L137" s="10">
        <x:v>4.589286637182914</x:v>
      </x:c>
      <x:c r="M137"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37" s="1" t="s">
        <x:v>440</x:v>
      </x:c>
      <x:c r="O137" s="1">
        <x:v>39624779778</x:v>
      </x:c>
      <x:c r="P137" s="1">
        <x:v>23365.361639999999</x:v>
      </x:c>
      <x:c r="Q137" s="7">
        <x:v>1.6958770160939824</x:v>
      </x:c>
      <x:c r="R137" s="5">
        <x:v>1.6958770160939824</x:v>
      </x:c>
      <x:c r="S137" s="15">
        <x:v>1.47</x:v>
      </x:c>
      <x:c r="T137" s="1" t="s">
        <x:v>422</x:v>
      </x:c>
      <x:c r="U137" s="1" t="s">
        <x:v>440</x:v>
      </x:c>
      <x:c r="V137">
        <x:v>-0.25</x:v>
      </x:c>
      <x:c r="W137" s="17" t="s">
        <x:v>440</x:v>
      </x:c>
      <x:c r="X137" s="17">
        <x:f t="shared" si="9"/>
        <x:v>26230780</x:v>
      </x:c>
      <x:c r="Y137" t="str">
        <x:f t="shared" si="10"/>
        <x:v>1 + -0.01 = 0.99</x:v>
      </x:c>
      <x:c r="Z137" t="str">
        <x:f t="shared" si="11"/>
        <x:v>1 + 1.04 = 2.04</x:v>
      </x:c>
    </x:row>
    <x:row r="138">
      <x:c r="A138" s="1" t="s">
        <x:v>441</x:v>
      </x:c>
      <x:c r="B138" s="1" t="s">
        <x:v>442</x:v>
      </x:c>
      <x:c r="C138" s="1" t="str">
        <x:v>Brunei (Brunei)</x:v>
      </x:c>
      <x:c r="D138" s="1" t="str">
        <x:v>46 autres pays</x:v>
      </x:c>
      <x:c r="E138" s="1">
        <x:v>20</x:v>
      </x:c>
      <x:c r="F138" s="1">
        <x:v>9.2963740000000001</x:v>
      </x:c>
      <x:c r="G138" s="2">
        <x:v>583</x:v>
      </x:c>
      <x:c r="H138" s="1">
        <x:v>5830</x:v>
      </x:c>
      <x:c r="I138" s="4">
        <x:v>37368.295061799043</x:v>
      </x:c>
      <x:c r="J138" s="20">
        <x:f t="shared" si="8"/>
        <x:v>4.0196634797394172E-3</x:v>
      </x:c>
      <x:c r="K138" s="5">
        <x:v>4.0196634797394172E-3</x:v>
      </x:c>
      <x:c r="L138" s="10">
        <x:v>4.589286637182914</x:v>
      </x:c>
      <x:c r="M138"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138" s="1" t="s">
        <x:v>443</x:v>
      </x:c>
      <x:c r="O138" s="1">
        <x:v>54042934</x:v>
      </x:c>
      <x:c r="P138" s="1">
        <x:v>14006.569579999999</x:v>
      </x:c>
      <x:c r="Q138" s="7">
        <x:v>3.8583989956518677E-3</x:v>
      </x:c>
      <x:c r="R138" s="5">
        <x:v>3.8583989956518677E-3</x:v>
      </x:c>
      <x:c r="S138" s="15">
        <x:v>1.47</x:v>
      </x:c>
      <x:c r="T138" s="1" t="s">
        <x:v>422</x:v>
      </x:c>
      <x:c r="U138" s="1" t="s">
        <x:v>443</x:v>
      </x:c>
      <x:c r="V138">
        <x:v>0.3</x:v>
      </x:c>
      <x:c r="W138" s="17" t="s">
        <x:v>443</x:v>
      </x:c>
      <x:c r="X138" s="17">
        <x:f t="shared" si="9"/>
        <x:v>9296374</x:v>
      </x:c>
      <x:c r="Y138" t="str">
        <x:f t="shared" si="10"/>
        <x:v>1 + 0.03 = 1.03</x:v>
      </x:c>
      <x:c r="Z138" t="str">
        <x:f t="shared" si="11"/>
        <x:v>1 + 0.00 = 1.00</x:v>
      </x:c>
    </x:row>
    <x:row r="139">
      <x:c r="A139" s="1" t="s">
        <x:v>444</x:v>
      </x:c>
      <x:c r="B139" s="1" t="s">
        <x:v>445</x:v>
      </x:c>
      <x:c r="C139" s="1" t="str">
        <x:v>CentAfri (République centrafricaine)</x:v>
      </x:c>
      <x:c r="D139" s="1" t="str">
        <x:v>46 autres pays</x:v>
      </x:c>
      <x:c r="E139" s="1">
        <x:v>40</x:v>
      </x:c>
      <x:c r="F139" s="1">
        <x:v>19.725460000000002</x:v>
      </x:c>
      <x:c r="G139" s="2">
        <x:v>4679444</x:v>
      </x:c>
      <x:c r="H139" s="1">
        <x:v>46794440</x:v>
      </x:c>
      <x:c r="I139" s="4">
        <x:v>426281255.78244448</x:v>
      </x:c>
      <x:c r="J139" s="20">
        <x:f t="shared" si="8"/>
        <x:v>21.61071304712004</x:v>
      </x:c>
      <x:c r="K139" s="5">
        <x:v>21.61071304712004</x:v>
      </x:c>
      <x:c r="L139" s="10">
        <x:v>4.589286637182914</x:v>
      </x:c>
      <x:c r="M139"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39" s="1" t="s">
        <x:v>446</x:v>
      </x:c>
      <x:c r="O139" s="1">
        <x:v>433775099912</x:v>
      </x:c>
      <x:c r="P139" s="1">
        <x:v>2516.4982989999999</x:v>
      </x:c>
      <x:c r="Q139" s="7">
        <x:v>172.37249875526342</x:v>
      </x:c>
      <x:c r="R139" s="5">
        <x:v>172.37249875526342</x:v>
      </x:c>
      <x:c r="S139" s="15">
        <x:v>1.47</x:v>
      </x:c>
      <x:c r="T139" s="1" t="s">
        <x:v>422</x:v>
      </x:c>
      <x:c r="U139" s="1" t="s">
        <x:v>446</x:v>
      </x:c>
      <x:c r="V139">
        <x:v>46.5</x:v>
      </x:c>
      <x:c r="W139" s="17" t="s">
        <x:v>447</x:v>
      </x:c>
      <x:c r="X139" s="17">
        <x:f t="shared" si="9"/>
        <x:v>19725460</x:v>
      </x:c>
      <x:c r="Y139" t="str">
        <x:f t="shared" si="10"/>
        <x:v>1 + 2.36 = 3.36</x:v>
      </x:c>
      <x:c r="Z139" t="str">
        <x:f t="shared" si="11"/>
        <x:v>1 + 21.61 = 22.61</x:v>
      </x:c>
    </x:row>
    <x:row r="140">
      <x:c r="A140" s="1" t="s">
        <x:v>448</x:v>
      </x:c>
      <x:c r="B140" s="1" t="s">
        <x:v>449</x:v>
      </x:c>
      <x:c r="C140" s="1" t="str">
        <x:v>Cook Islands (Îles Cook)</x:v>
      </x:c>
      <x:c r="D140" s="1" t="str">
        <x:v>46 autres pays</x:v>
      </x:c>
      <x:c r="E140" s="1">
        <x:v>20</x:v>
      </x:c>
      <x:c r="F140" s="1">
        <x:v>9.8277000000000003E-2</x:v>
      </x:c>
      <x:c r="G140" s="2">
        <x:v>111</x:v>
      </x:c>
      <x:c r="H140" s="1">
        <x:v>1110</x:v>
      </x:c>
      <x:c r="I140" s="4">
        <x:v>13108.718270771344</x:v>
      </x:c>
      <x:c r="J140" s="20">
        <x:f t="shared" si="8"/>
        <x:v>1.3338541338025521E-3</x:v>
      </x:c>
      <x:c r="K140" s="5">
        <x:v>1.3338541338025521E-3</x:v>
      </x:c>
      <x:c r="L140" s="10">
        <x:v>4.589286637182914</x:v>
      </x:c>
      <x:c r="M140"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140" s="1" t="s">
        <x:v>450</x:v>
      </x:c>
      <x:c r="O140" s="1">
        <x:v>10289478</x:v>
      </x:c>
      <x:c r="P140" s="1">
        <x:v>575.4</x:v>
      </x:c>
      <x:c r="Q140" s="7">
        <x:v>1.7882304483837329E-2</x:v>
      </x:c>
      <x:c r="R140" s="5">
        <x:v>1.7882304483837329E-2</x:v>
      </x:c>
      <x:c r="S140" s="15">
        <x:v>1.47</x:v>
      </x:c>
      <x:c r="T140" s="1" t="s">
        <x:v>422</x:v>
      </x:c>
      <x:c r="U140" s="1" t="s">
        <x:v>450</x:v>
      </x:c>
      <x:c r="V140">
        <x:v>0</x:v>
      </x:c>
      <x:c r="W140" s="17" t="s">
        <x:v>450</x:v>
      </x:c>
      <x:c r="X140" s="17">
        <x:f t="shared" si="9"/>
        <x:v>98277</x:v>
      </x:c>
      <x:c r="Y140" t="str">
        <x:f t="shared" si="10"/>
        <x:v>1 + 0.00 = 1.00</x:v>
      </x:c>
      <x:c r="Z140" t="str">
        <x:f t="shared" si="11"/>
        <x:v>1 + 0.13 = 1.13</x:v>
      </x:c>
    </x:row>
    <x:row r="141">
      <x:c r="A141" s="1" t="s">
        <x:v>451</x:v>
      </x:c>
      <x:c r="B141" s="1" t="s">
        <x:v>452</x:v>
      </x:c>
      <x:c r="C141" s="1" t="str">
        <x:v>Cuba (Cuba)</x:v>
      </x:c>
      <x:c r="D141" s="1" t="str">
        <x:v>46 autres pays</x:v>
      </x:c>
      <x:c r="E141" s="1">
        <x:v>20</x:v>
      </x:c>
      <x:c r="F141" s="1">
        <x:v>41.237369999999999</x:v>
      </x:c>
      <x:c r="G141" s="2">
        <x:v>3752400</x:v>
      </x:c>
      <x:c r="H141" s="1">
        <x:v>37524000</x:v>
      </x:c>
      <x:c r="I141" s="4">
        <x:v>139201135.48867017</x:v>
      </x:c>
      <x:c r="J141" s="20">
        <x:f t="shared" si="8"/>
        <x:v>3.375606530888613</x:v>
      </x:c>
      <x:c r="K141" s="5">
        <x:v>3.375606530888613</x:v>
      </x:c>
      <x:c r="L141" s="10">
        <x:v>4.589286637182914</x:v>
      </x:c>
      <x:c r="M14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41" s="1" t="s">
        <x:v>453</x:v>
      </x:c>
      <x:c r="O141" s="1">
        <x:v>347839975200</x:v>
      </x:c>
      <x:c r="P141" s="1">
        <x:v>107400</x:v>
      </x:c>
      <x:c r="Q141" s="7">
        <x:v>3.2387334748603354</x:v>
      </x:c>
      <x:c r="R141" s="5">
        <x:v>3.2387334748603354</x:v>
      </x:c>
      <x:c r="S141" s="15">
        <x:v>1.47</x:v>
      </x:c>
      <x:c r="T141" s="1" t="s">
        <x:v>422</x:v>
      </x:c>
      <x:c r="U141" s="1" t="s">
        <x:v>453</x:v>
      </x:c>
      <x:c r="V141">
        <x:v>-4.76</x:v>
      </x:c>
      <x:c r="W141" s="17" t="s">
        <x:v>453</x:v>
      </x:c>
      <x:c r="X141" s="17">
        <x:f t="shared" si="9"/>
        <x:v>41237370</x:v>
      </x:c>
      <x:c r="Y141" t="str">
        <x:f t="shared" si="10"/>
        <x:v>1 + -0.12 = 0.88</x:v>
      </x:c>
      <x:c r="Z141" t="str">
        <x:f t="shared" si="11"/>
        <x:v>1 + 3.38 = 4.38</x:v>
      </x:c>
    </x:row>
    <x:row r="142">
      <x:c r="A142" s="1" t="s">
        <x:v>454</x:v>
      </x:c>
      <x:c r="B142" s="1" t="s">
        <x:v>455</x:v>
      </x:c>
      <x:c r="C142" s="1" t="str">
        <x:v>Djibouti (Djibouti)</x:v>
      </x:c>
      <x:c r="D142" s="1" t="str">
        <x:v>46 autres pays</x:v>
      </x:c>
      <x:c r="E142" s="1">
        <x:v>20</x:v>
      </x:c>
      <x:c r="F142" s="1">
        <x:v>1.379019</x:v>
      </x:c>
      <x:c r="G142" s="2">
        <x:v>1500000</x:v>
      </x:c>
      <x:c r="H142" s="1">
        <x:v>15000000</x:v>
      </x:c>
      <x:c r="I142" s="4">
        <x:v>136644841.49691007</x:v>
      </x:c>
      <x:c r="J142" s="20">
        <x:f t="shared" si="8"/>
        <x:v>99.088440041007459</x:v>
      </x:c>
      <x:c r="K142" s="5">
        <x:v>99.088440041007459</x:v>
      </x:c>
      <x:c r="L142" s="10">
        <x:v>4.589286637182914</x:v>
      </x:c>
      <x:c r="M14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42" s="1" t="s">
        <x:v>456</x:v>
      </x:c>
      <x:c r="O142" s="1">
        <x:v>139047000000</x:v>
      </x:c>
      <x:c r="P142" s="1">
        <x:v>3482.9873790000001</x:v>
      </x:c>
      <x:c r="Q142" s="7">
        <x:v>39.921763954229938</x:v>
      </x:c>
      <x:c r="R142" s="5">
        <x:v>39.921763954229938</x:v>
      </x:c>
      <x:c r="S142" s="15">
        <x:v>1.47</x:v>
      </x:c>
      <x:c r="T142" s="1" t="s">
        <x:v>422</x:v>
      </x:c>
      <x:c r="U142" s="1" t="s">
        <x:v>456</x:v>
      </x:c>
      <x:c r="V142">
        <x:v>-0.01</x:v>
      </x:c>
      <x:c r="W142" s="17" t="s">
        <x:v>456</x:v>
      </x:c>
      <x:c r="X142" s="17">
        <x:f t="shared" si="9"/>
        <x:v>1379019</x:v>
      </x:c>
      <x:c r="Y142" t="str">
        <x:f t="shared" si="10"/>
        <x:v>1 + -0.01 = 0.99</x:v>
      </x:c>
      <x:c r="Z142" t="str">
        <x:f t="shared" si="11"/>
        <x:v>1 + 99.09 = 100.09</x:v>
      </x:c>
    </x:row>
    <x:row r="143">
      <x:c r="A143" s="1" t="s">
        <x:v>457</x:v>
      </x:c>
      <x:c r="B143" s="1" t="s">
        <x:v>458</x:v>
      </x:c>
      <x:c r="C143" s="1" t="str">
        <x:v>Dominica (Dominique)</x:v>
      </x:c>
      <x:c r="D143" s="1" t="str">
        <x:v>46 autres pays</x:v>
      </x:c>
      <x:c r="E143" s="1">
        <x:v>30</x:v>
      </x:c>
      <x:c r="F143" s="1">
        <x:v>0.23459099999999999</x:v>
      </x:c>
      <x:c r="G143" s="2">
        <x:v>299049</x:v>
      </x:c>
      <x:c r="H143" s="1">
        <x:v>2990490</x:v>
      </x:c>
      <x:c r="I143" s="4">
        <x:v>27242335.46987297</x:v>
      </x:c>
      <x:c r="J143" s="20">
        <x:f t="shared" si="8"/>
        <x:v>116.12694208163558</x:v>
      </x:c>
      <x:c r="K143" s="5">
        <x:v>116.12694208163558</x:v>
      </x:c>
      <x:c r="L143" s="10">
        <x:v>4.589286637182914</x:v>
      </x:c>
      <x:c r="M143"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43" s="1" t="s">
        <x:v>459</x:v>
      </x:c>
      <x:c r="O143" s="1">
        <x:v>27721244202</x:v>
      </x:c>
      <x:c r="P143" s="1">
        <x:v>554.18148150000002</x:v>
      </x:c>
      <x:c r="Q143" s="7">
        <x:v>50.021960544345617</x:v>
      </x:c>
      <x:c r="R143" s="5">
        <x:v>50.021960544345617</x:v>
      </x:c>
      <x:c r="S143" s="15">
        <x:v>1.47</x:v>
      </x:c>
      <x:c r="T143" s="1" t="s">
        <x:v>422</x:v>
      </x:c>
      <x:c r="U143" s="1" t="s">
        <x:v>459</x:v>
      </x:c>
      <x:c r="V143">
        <x:v>0.02</x:v>
      </x:c>
      <x:c r="W143" s="17" t="s">
        <x:v>459</x:v>
      </x:c>
      <x:c r="X143" s="17">
        <x:f t="shared" si="9"/>
        <x:v>234591</x:v>
      </x:c>
      <x:c r="Y143" t="str">
        <x:f t="shared" si="10"/>
        <x:v>1 + 0.09 = 1.09</x:v>
      </x:c>
      <x:c r="Z143" t="str">
        <x:f t="shared" si="11"/>
        <x:v>1 + 116.13 = 117.13</x:v>
      </x:c>
    </x:row>
    <x:row r="144">
      <x:c r="A144" s="1" t="s">
        <x:v>460</x:v>
      </x:c>
      <x:c r="B144" s="1" t="s">
        <x:v>461</x:v>
      </x:c>
      <x:c r="C144" s="1" t="str">
        <x:v>Dominican Republic (République dominicaine)</x:v>
      </x:c>
      <x:c r="D144" s="1" t="str">
        <x:v>46 autres pays</x:v>
      </x:c>
      <x:c r="E144" s="1">
        <x:v>30</x:v>
      </x:c>
      <x:c r="F144" s="1">
        <x:v>41.315429999999999</x:v>
      </x:c>
      <x:c r="G144" s="2">
        <x:v>14294</x:v>
      </x:c>
      <x:c r="H144" s="1">
        <x:v>142940</x:v>
      </x:c>
      <x:c r="I144" s="4">
        <x:v>1688072.2429045548</x:v>
      </x:c>
      <x:c r="J144" s="20">
        <x:f t="shared" si="8"/>
        <x:v>4.0858155001764589E-2</x:v>
      </x:c>
      <x:c r="K144" s="5">
        <x:v>4.0858155001764589E-2</x:v>
      </x:c>
      <x:c r="L144" s="10">
        <x:v>4.589286637182914</x:v>
      </x:c>
      <x:c r="M144"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144" s="1" t="s">
        <x:v>462</x:v>
      </x:c>
      <x:c r="O144" s="1">
        <x:v>1325025212</x:v>
      </x:c>
      <x:c r="P144" s="1">
        <x:v>94243.453940000007</x:v>
      </x:c>
      <x:c r="Q144" s="7">
        <x:v>1.4059599437469428E-2</x:v>
      </x:c>
      <x:c r="R144" s="5">
        <x:v>1.4059599437469428E-2</x:v>
      </x:c>
      <x:c r="S144" s="15">
        <x:v>1.47</x:v>
      </x:c>
      <x:c r="T144" s="1" t="s">
        <x:v>422</x:v>
      </x:c>
      <x:c r="U144" s="1" t="s">
        <x:v>462</x:v>
      </x:c>
      <x:c r="V144">
        <x:v>-0.36</x:v>
      </x:c>
      <x:c r="W144" s="17" t="s">
        <x:v>462</x:v>
      </x:c>
      <x:c r="X144" s="17">
        <x:f t="shared" si="9"/>
        <x:v>41315430</x:v>
      </x:c>
      <x:c r="Y144" t="str">
        <x:f t="shared" si="10"/>
        <x:v>1 + -0.01 = 0.99</x:v>
      </x:c>
      <x:c r="Z144" t="str">
        <x:f t="shared" si="11"/>
        <x:v>1 + 0.04 = 1.04</x:v>
      </x:c>
    </x:row>
    <x:row r="145">
      <x:c r="A145" s="1" t="s">
        <x:v>463</x:v>
      </x:c>
      <x:c r="B145" s="1" t="s">
        <x:v>464</x:v>
      </x:c>
      <x:c r="C145" s="1" t="str">
        <x:v>East Timor (Timor oriental)</x:v>
      </x:c>
      <x:c r="D145" s="1" t="str">
        <x:v>46 autres pays</x:v>
      </x:c>
      <x:c r="E145" s="1">
        <x:v>20</x:v>
      </x:c>
      <x:c r="F145" s="1">
        <x:v>5.9058270000000004</x:v>
      </x:c>
      <x:c r="G145" s="2">
        <x:v>228458</x:v>
      </x:c>
      <x:c r="H145" s="1">
        <x:v>2284580</x:v>
      </x:c>
      <x:c r="I145" s="4">
        <x:v>26980104.132467385</x:v>
      </x:c>
      <x:c r="J145" s="20">
        <x:f t="shared" si="8"/>
        <x:v>4.5683871424725755</x:v>
      </x:c>
      <x:c r="K145" s="5">
        <x:v>4.5683871424725755</x:v>
      </x:c>
      <x:c r="L145" s="10">
        <x:v>4.589286637182914</x:v>
      </x:c>
      <x:c r="M145"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45" s="1" t="s">
        <x:v>465</x:v>
      </x:c>
      <x:c r="O145" s="1">
        <x:v>21177599684</x:v>
      </x:c>
      <x:c r="P145" s="1">
        <x:v>3621.2223819999999</x:v>
      </x:c>
      <x:c r="Q145" s="7">
        <x:v>5.848190873133734</x:v>
      </x:c>
      <x:c r="R145" s="5">
        <x:v>5.848190873133734</x:v>
      </x:c>
      <x:c r="S145" s="15">
        <x:v>1.47</x:v>
      </x:c>
      <x:c r="T145" s="1" t="s">
        <x:v>422</x:v>
      </x:c>
      <x:c r="U145" s="1" t="s">
        <x:v>465</x:v>
      </x:c>
      <x:c r="V145">
        <x:v>0.41</x:v>
      </x:c>
      <x:c r="W145" s="17" t="s">
        <x:v>465</x:v>
      </x:c>
      <x:c r="X145" s="17">
        <x:f t="shared" si="9"/>
        <x:v>5905827</x:v>
      </x:c>
      <x:c r="Y145" t="str">
        <x:f t="shared" si="10"/>
        <x:v>1 + 0.07 = 1.07</x:v>
      </x:c>
      <x:c r="Z145" t="str">
        <x:f t="shared" si="11"/>
        <x:v>1 + 4.57 = 5.57</x:v>
      </x:c>
    </x:row>
    <x:row r="146">
      <x:c r="A146" s="1" t="s">
        <x:v>466</x:v>
      </x:c>
      <x:c r="B146" s="1" t="s">
        <x:v>467</x:v>
      </x:c>
      <x:c r="C146" s="1" t="str">
        <x:v>Fiji (Fidji)</x:v>
      </x:c>
      <x:c r="D146" s="1" t="str">
        <x:v>46 autres pays</x:v>
      </x:c>
      <x:c r="E146" s="1">
        <x:v>20</x:v>
      </x:c>
      <x:c r="F146" s="1">
        <x:v>2.3803369999999999</x:v>
      </x:c>
      <x:c r="G146" s="2">
        <x:v>93301</x:v>
      </x:c>
      <x:c r="H146" s="1">
        <x:v>933010</x:v>
      </x:c>
      <x:c r="I146" s="4">
        <x:v>3461146.237668803</x:v>
      </x:c>
      <x:c r="J146" s="20">
        <x:f t="shared" si="8"/>
        <x:v>1.4540572354539727</x:v>
      </x:c>
      <x:c r="K146" s="5">
        <x:v>1.4540572354539727</x:v>
      </x:c>
      <x:c r="L146" s="10">
        <x:v>4.589286637182914</x:v>
      </x:c>
      <x:c r="M146"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46" s="1" t="s">
        <x:v>468</x:v>
      </x:c>
      <x:c r="O146" s="1">
        <x:v>8648816098</x:v>
      </x:c>
      <x:c r="P146" s="1">
        <x:v>4296.3045899999997</x:v>
      </x:c>
      <x:c r="Q146" s="7">
        <x:v>2.0130826194518021</x:v>
      </x:c>
      <x:c r="R146" s="5">
        <x:v>2.0130826194518021</x:v>
      </x:c>
      <x:c r="S146" s="15">
        <x:v>1.47</x:v>
      </x:c>
      <x:c r="T146" s="1" t="s">
        <x:v>422</x:v>
      </x:c>
      <x:c r="U146" s="1" t="s">
        <x:v>468</x:v>
      </x:c>
      <x:c r="V146">
        <x:v>-1.91</x:v>
      </x:c>
      <x:c r="W146" s="17" t="s">
        <x:v>468</x:v>
      </x:c>
      <x:c r="X146" s="17">
        <x:f t="shared" si="9"/>
        <x:v>2380337</x:v>
      </x:c>
      <x:c r="Y146" t="str">
        <x:f t="shared" si="10"/>
        <x:v>1 + -0.80 = 0.20</x:v>
      </x:c>
      <x:c r="Z146" t="str">
        <x:f t="shared" si="11"/>
        <x:v>1 + 1.45 = 2.45</x:v>
      </x:c>
    </x:row>
    <x:row r="147">
      <x:c r="A147" s="1" t="s">
        <x:v>469</x:v>
      </x:c>
      <x:c r="B147" s="1" t="s">
        <x:v>470</x:v>
      </x:c>
      <x:c r="C147" s="1" t="str">
        <x:v>Grenada (Grenade)</x:v>
      </x:c>
      <x:c r="D147" s="1" t="str">
        <x:v>46 autres pays</x:v>
      </x:c>
      <x:c r="E147" s="1">
        <x:v>30</x:v>
      </x:c>
      <x:c r="F147" s="1">
        <x:v>2.3872089999999999</x:v>
      </x:c>
      <x:c r="G147" s="2">
        <x:v>4570</x:v>
      </x:c>
      <x:c r="H147" s="1">
        <x:v>45700</x:v>
      </x:c>
      <x:c r="I147" s="4">
        <x:v>539701.28376058605</x:v>
      </x:c>
      <x:c r="J147" s="20">
        <x:f t="shared" si="8"/>
        <x:v>0.22608044949586989</x:v>
      </x:c>
      <x:c r="K147" s="5">
        <x:v>0.22608044949586989</x:v>
      </x:c>
      <x:c r="L147" s="10">
        <x:v>4.589286637182914</x:v>
      </x:c>
      <x:c r="M147"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47" s="1" t="s">
        <x:v>471</x:v>
      </x:c>
      <x:c r="O147" s="1">
        <x:v>423629860</x:v>
      </x:c>
      <x:c r="P147" s="1">
        <x:v>1122.807407</x:v>
      </x:c>
      <x:c r="Q147" s="7">
        <x:v>0.37729521319411818</x:v>
      </x:c>
      <x:c r="R147" s="5">
        <x:v>0.37729521319411818</x:v>
      </x:c>
      <x:c r="S147" s="15">
        <x:v>1.47</x:v>
      </x:c>
      <x:c r="T147" s="1" t="s">
        <x:v>422</x:v>
      </x:c>
      <x:c r="U147" s="1" t="s">
        <x:v>471</x:v>
      </x:c>
      <x:c r="V147">
        <x:v>0</x:v>
      </x:c>
      <x:c r="W147" s="17" t="s">
        <x:v>471</x:v>
      </x:c>
      <x:c r="X147" s="17">
        <x:f t="shared" si="9"/>
        <x:v>2387209</x:v>
      </x:c>
      <x:c r="Y147" t="str">
        <x:f t="shared" si="10"/>
        <x:v>1 + 0.00 = 1.00</x:v>
      </x:c>
      <x:c r="Z147" t="str">
        <x:f t="shared" si="11"/>
        <x:v>1 + 0.23 = 1.23</x:v>
      </x:c>
    </x:row>
    <x:row r="148">
      <x:c r="A148" s="1" t="s">
        <x:v>472</x:v>
      </x:c>
      <x:c r="B148" s="1" t="s">
        <x:v>473</x:v>
      </x:c>
      <x:c r="C148" s="1" t="str">
        <x:v>Haiti (Haïti)</x:v>
      </x:c>
      <x:c r="D148" s="1" t="str">
        <x:v>46 autres pays</x:v>
      </x:c>
      <x:c r="E148" s="1">
        <x:v>30</x:v>
      </x:c>
      <x:c r="F148" s="1">
        <x:v>10.495469999999999</x:v>
      </x:c>
      <x:c r="G148" s="2">
        <x:v>1524341</x:v>
      </x:c>
      <x:c r="H148" s="1">
        <x:v>15243410</x:v>
      </x:c>
      <x:c r="I148" s="4">
        <x:v>180019429.88816091</x:v>
      </x:c>
      <x:c r="J148" s="20">
        <x:f t="shared" si="8"/>
        <x:v>17.152107517639603</x:v>
      </x:c>
      <x:c r="K148" s="5">
        <x:v>17.152107517639603</x:v>
      </x:c>
      <x:c r="L148" s="10">
        <x:v>4.589286637182914</x:v>
      </x:c>
      <x:c r="M148"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48" s="1" t="s">
        <x:v>474</x:v>
      </x:c>
      <x:c r="O148" s="1">
        <x:v>141303362018</x:v>
      </x:c>
      <x:c r="P148" s="1">
        <x:v>20944.392619999999</x:v>
      </x:c>
      <x:c r="Q148" s="7">
        <x:v>6.7465963125169868</x:v>
      </x:c>
      <x:c r="R148" s="5">
        <x:v>6.7465963125169868</x:v>
      </x:c>
      <x:c r="S148" s="15">
        <x:v>1.47</x:v>
      </x:c>
      <x:c r="T148" s="1" t="s">
        <x:v>422</x:v>
      </x:c>
      <x:c r="U148" s="1" t="s">
        <x:v>474</x:v>
      </x:c>
      <x:c r="V148">
        <x:v>-0.03</x:v>
      </x:c>
      <x:c r="W148" s="17" t="s">
        <x:v>474</x:v>
      </x:c>
      <x:c r="X148" s="17">
        <x:f t="shared" si="9"/>
        <x:v>10495470</x:v>
      </x:c>
      <x:c r="Y148" t="str">
        <x:f t="shared" si="10"/>
        <x:v>1 + 0.00 = 1.00</x:v>
      </x:c>
      <x:c r="Z148" t="str">
        <x:f t="shared" si="11"/>
        <x:v>1 + 17.15 = 18.15</x:v>
      </x:c>
    </x:row>
    <x:row r="149">
      <x:c r="A149" s="1" t="s">
        <x:v>475</x:v>
      </x:c>
      <x:c r="B149" s="1" t="s">
        <x:v>476</x:v>
      </x:c>
      <x:c r="C149" s="1" t="str">
        <x:v>Iceland (Islande)</x:v>
      </x:c>
      <x:c r="D149" s="1" t="str">
        <x:v>46 autres pays</x:v>
      </x:c>
      <x:c r="E149" s="1">
        <x:v>10</x:v>
      </x:c>
      <x:c r="F149" s="1">
        <x:v>2.851035</x:v>
      </x:c>
      <x:c r="G149" s="2">
        <x:v>80643</x:v>
      </x:c>
      <x:c r="H149" s="1">
        <x:v>806430</x:v>
      </x:c>
      <x:c r="I149" s="4">
        <x:v>7346299.9685568782</x:v>
      </x:c>
      <x:c r="J149" s="20">
        <x:f t="shared" si="8"/>
        <x:v>2.5767133579759203</x:v>
      </x:c>
      <x:c r="K149" s="5">
        <x:v>2.5767133579759203</x:v>
      </x:c>
      <x:c r="L149" s="10">
        <x:v>4.589286637182914</x:v>
      </x:c>
      <x:c r="M149"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49" s="1" t="s">
        <x:v>477</x:v>
      </x:c>
      <x:c r="O149" s="1">
        <x:v>7475444814</x:v>
      </x:c>
      <x:c r="P149" s="1">
        <x:v>25602.41921</x:v>
      </x:c>
      <x:c r="Q149" s="7">
        <x:v>0.29198197063659437</x:v>
      </x:c>
      <x:c r="R149" s="5">
        <x:v>0.29198197063659437</x:v>
      </x:c>
      <x:c r="S149" s="15">
        <x:v>1.47</x:v>
      </x:c>
      <x:c r="T149" s="1" t="s">
        <x:v>422</x:v>
      </x:c>
      <x:c r="U149" s="1" t="s">
        <x:v>477</x:v>
      </x:c>
      <x:c r="V149">
        <x:v>0.57999999999999996</x:v>
      </x:c>
      <x:c r="W149" s="17" t="s">
        <x:v>477</x:v>
      </x:c>
      <x:c r="X149" s="17">
        <x:f t="shared" si="9"/>
        <x:v>2851035</x:v>
      </x:c>
      <x:c r="Y149" t="str">
        <x:f t="shared" si="10"/>
        <x:v>1 + 0.20 = 1.20</x:v>
      </x:c>
      <x:c r="Z149" t="str">
        <x:f t="shared" si="11"/>
        <x:v>1 + 2.58 = 3.58</x:v>
      </x:c>
    </x:row>
    <x:row r="150">
      <x:c r="A150" s="1" t="s">
        <x:v>478</x:v>
      </x:c>
      <x:c r="B150" s="1" t="s">
        <x:v>479</x:v>
      </x:c>
      <x:c r="C150" s="1" t="str">
        <x:v>Jamaica (Jamaïque)</x:v>
      </x:c>
      <x:c r="D150" s="1" t="str">
        <x:v>46 autres pays</x:v>
      </x:c>
      <x:c r="E150" s="1">
        <x:v>30</x:v>
      </x:c>
      <x:c r="F150" s="1">
        <x:v>9.9653989999999997</x:v>
      </x:c>
      <x:c r="G150" s="2">
        <x:v>160000</x:v>
      </x:c>
      <x:c r="H150" s="1">
        <x:v>1600000</x:v>
      </x:c>
      <x:c r="I150" s="4">
        <x:v>5935449.7596704047</x:v>
      </x:c>
      <x:c r="J150" s="20">
        <x:f t="shared" si="8"/>
        <x:v>0.59560583170532411</x:v>
      </x:c>
      <x:c r="K150" s="5">
        <x:v>0.59560583170532411</x:v>
      </x:c>
      <x:c r="L150" s="10">
        <x:v>4.589286637182914</x:v>
      </x:c>
      <x:c r="M150"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50" s="1" t="s">
        <x:v>480</x:v>
      </x:c>
      <x:c r="O150" s="1">
        <x:v>14831680000</x:v>
      </x:c>
      <x:c r="P150" s="1">
        <x:v>14657.586939999999</x:v>
      </x:c>
      <x:c r="Q150" s="7">
        <x:v>1.0118773342919705</x:v>
      </x:c>
      <x:c r="R150" s="5">
        <x:v>1.0118773342919705</x:v>
      </x:c>
      <x:c r="S150" s="15">
        <x:v>1.47</x:v>
      </x:c>
      <x:c r="T150" s="1" t="s">
        <x:v>422</x:v>
      </x:c>
      <x:c r="U150" s="1" t="s">
        <x:v>480</x:v>
      </x:c>
      <x:c r="V150">
        <x:v>0.15</x:v>
      </x:c>
      <x:c r="W150" s="17" t="s">
        <x:v>480</x:v>
      </x:c>
      <x:c r="X150" s="17">
        <x:f t="shared" si="9"/>
        <x:v>9965399</x:v>
      </x:c>
      <x:c r="Y150" t="str">
        <x:f t="shared" si="10"/>
        <x:v>1 + 0.02 = 1.02</x:v>
      </x:c>
      <x:c r="Z150" t="str">
        <x:f t="shared" si="11"/>
        <x:v>1 + 0.60 = 1.60</x:v>
      </x:c>
    </x:row>
    <x:row r="151">
      <x:c r="A151" s="1" t="s">
        <x:v>481</x:v>
      </x:c>
      <x:c r="B151" s="1" t="s">
        <x:v>482</x:v>
      </x:c>
      <x:c r="C151" s="1" t="str">
        <x:v>Kiribati (Kiribati)</x:v>
      </x:c>
      <x:c r="D151" s="1" t="str">
        <x:v>46 autres pays</x:v>
      </x:c>
      <x:c r="E151" s="1">
        <x:v>30</x:v>
      </x:c>
      <x:c r="F151" s="1">
        <x:v>0.117936</x:v>
      </x:c>
      <x:c r="G151" s="2">
        <x:v>160000</x:v>
      </x:c>
      <x:c r="H151" s="1">
        <x:v>1600000</x:v>
      </x:c>
      <x:c r="I151" s="4">
        <x:v>14575449.759670405</x:v>
      </x:c>
      <x:c r="J151" s="20">
        <x:f t="shared" si="8"/>
        <x:v>123.58779134166332</x:v>
      </x:c>
      <x:c r="K151" s="5">
        <x:v>123.58779134166332</x:v>
      </x:c>
      <x:c r="L151" s="10">
        <x:v>4.589286637182914</x:v>
      </x:c>
      <x:c r="M15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51" s="1" t="s">
        <x:v>483</x:v>
      </x:c>
      <x:c r="O151" s="1">
        <x:v>14831680000</x:v>
      </x:c>
      <x:c r="P151" s="1">
        <x:v>207.03125</x:v>
      </x:c>
      <x:c r="Q151" s="7">
        <x:v>71.639812830188674</x:v>
      </x:c>
      <x:c r="R151" s="5">
        <x:v>71.639812830188674</x:v>
      </x:c>
      <x:c r="S151" s="15">
        <x:v>1.47</x:v>
      </x:c>
      <x:c r="T151" s="1" t="s">
        <x:v>422</x:v>
      </x:c>
      <x:c r="U151" s="1" t="s">
        <x:v>483</x:v>
      </x:c>
      <x:c r="V151">
        <x:v>0</x:v>
      </x:c>
      <x:c r="W151" s="17" t="s">
        <x:v>483</x:v>
      </x:c>
      <x:c r="X151" s="17">
        <x:f t="shared" si="9"/>
        <x:v>117936</x:v>
      </x:c>
      <x:c r="Y151" t="str">
        <x:f t="shared" si="10"/>
        <x:v>1 + 0.00 = 1.00</x:v>
      </x:c>
      <x:c r="Z151" t="str">
        <x:f t="shared" si="11"/>
        <x:v>1 + 123.59 = 124.59</x:v>
      </x:c>
    </x:row>
    <x:row r="152">
      <x:c r="A152" s="1" t="s">
        <x:v>484</x:v>
      </x:c>
      <x:c r="B152" s="1" t="s">
        <x:v>485</x:v>
      </x:c>
      <x:c r="C152" s="1" t="str">
        <x:v>Liechtenstein (Liechtenstein)</x:v>
      </x:c>
      <x:c r="D152" s="1" t="str">
        <x:v>46 autres pays</x:v>
      </x:c>
      <x:c r="E152" s="1">
        <x:v>10</x:v>
      </x:c>
      <x:c r="F152" s="1">
        <x:v>0.16357099999999999</x:v>
      </x:c>
      <x:c r="G152" s="2">
        <x:v>1082</x:v>
      </x:c>
      <x:c r="H152" s="1">
        <x:v>10820</x:v>
      </x:c>
      <x:c r="I152" s="4">
        <x:v>40138.47899977112</x:v>
      </x:c>
      <x:c r="J152" s="20">
        <x:f t="shared" si="8"/>
        <x:v>0.24538872416119678</x:v>
      </x:c>
      <x:c r="K152" s="5">
        <x:v>0.24538872416119678</x:v>
      </x:c>
      <x:c r="L152" s="10">
        <x:v>4.589286637182914</x:v>
      </x:c>
      <x:c r="M152"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152" s="1" t="s">
        <x:v>486</x:v>
      </x:c>
      <x:c r="O152" s="1">
        <x:v>100299236</x:v>
      </x:c>
      <x:c r="P152" s="1">
        <x:v>6114</x:v>
      </x:c>
      <x:c r="Q152" s="7">
        <x:v>1.6404847235852144E-2</x:v>
      </x:c>
      <x:c r="R152" s="5">
        <x:v>1.6404847235852144E-2</x:v>
      </x:c>
      <x:c r="S152" s="15">
        <x:v>1.47</x:v>
      </x:c>
      <x:c r="T152" s="1" t="s">
        <x:v>422</x:v>
      </x:c>
      <x:c r="U152" s="1" t="s">
        <x:v>486</x:v>
      </x:c>
      <x:c r="V152">
        <x:v>0</x:v>
      </x:c>
      <x:c r="W152" s="17" t="s">
        <x:v>486</x:v>
      </x:c>
      <x:c r="X152" s="17">
        <x:f t="shared" si="9"/>
        <x:v>163571</x:v>
      </x:c>
      <x:c r="Y152" t="str">
        <x:f t="shared" si="10"/>
        <x:v>1 + 0.00 = 1.00</x:v>
      </x:c>
      <x:c r="Z152" t="str">
        <x:f t="shared" si="11"/>
        <x:v>1 + 0.25 = 1.25</x:v>
      </x:c>
    </x:row>
    <x:row r="153">
      <x:c r="A153" s="1" t="s">
        <x:v>487</x:v>
      </x:c>
      <x:c r="B153" s="1" t="s">
        <x:v>488</x:v>
      </x:c>
      <x:c r="C153" s="1" t="str">
        <x:v>Macedonia (Macédoine du Nord)</x:v>
      </x:c>
      <x:c r="D153" s="1" t="str">
        <x:v>46 autres pays</x:v>
      </x:c>
      <x:c r="E153" s="1">
        <x:v>30</x:v>
      </x:c>
      <x:c r="F153" s="1">
        <x:v>11.249510000000001</x:v>
      </x:c>
      <x:c r="G153" s="2">
        <x:v>222202</x:v>
      </x:c>
      <x:c r="H153" s="1">
        <x:v>2222020</x:v>
      </x:c>
      <x:c r="I153" s="4">
        <x:v>14242384.046864271</x:v>
      </x:c>
      <x:c r="J153" s="20">
        <x:f t="shared" si="8"/>
        <x:v>1.266044836340807</x:v>
      </x:c>
      <x:c r="K153" s="5">
        <x:v>1.266044836340807</x:v>
      </x:c>
      <x:c r="L153" s="10">
        <x:v>4.589286637182914</x:v>
      </x:c>
      <x:c r="M153"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53" s="1" t="s">
        <x:v>489</x:v>
      </x:c>
      <x:c r="O153" s="1">
        <x:v>20597680996</x:v>
      </x:c>
      <x:c r="P153" s="1">
        <x:v>13825.04983</x:v>
      </x:c>
      <x:c r="Q153" s="7">
        <x:v>1.4898811396182867</x:v>
      </x:c>
      <x:c r="R153" s="5">
        <x:v>1.4898811396182867</x:v>
      </x:c>
      <x:c r="S153" s="15">
        <x:v>1.47</x:v>
      </x:c>
      <x:c r="T153" s="1" t="s">
        <x:v>422</x:v>
      </x:c>
      <x:c r="U153" s="1" t="s">
        <x:v>489</x:v>
      </x:c>
      <x:c r="V153">
        <x:v>44.22</x:v>
      </x:c>
      <x:c r="W153" s="17" t="s">
        <x:v>86</x:v>
      </x:c>
      <x:c r="X153" s="17">
        <x:f t="shared" si="9"/>
        <x:v>11249510</x:v>
      </x:c>
      <x:c r="Y153" t="str">
        <x:f t="shared" si="10"/>
        <x:v>1 + 3.93 = 4.93</x:v>
      </x:c>
      <x:c r="Z153" t="str">
        <x:f t="shared" si="11"/>
        <x:v>1 + 1.27 = 2.27</x:v>
      </x:c>
    </x:row>
    <x:row r="154">
      <x:c r="A154" s="1" t="s">
        <x:v>490</x:v>
      </x:c>
      <x:c r="B154" s="1" t="s">
        <x:v>491</x:v>
      </x:c>
      <x:c r="C154" s="1" t="str">
        <x:v>Marshall Islands (Îles Marshall)</x:v>
      </x:c>
      <x:c r="D154" s="1" t="str">
        <x:v>46 autres pays</x:v>
      </x:c>
      <x:c r="E154" s="1">
        <x:v>30</x:v>
      </x:c>
      <x:c r="F154" s="1">
        <x:v>0.23175399999999999</x:v>
      </x:c>
      <x:c r="G154" s="2">
        <x:v>10729</x:v>
      </x:c>
      <x:c r="H154" s="1">
        <x:v>107290</x:v>
      </x:c>
      <x:c r="I154" s="4">
        <x:v>977375.00294689857</x:v>
      </x:c>
      <x:c r="J154" s="20">
        <x:f t="shared" si="8"/>
        <x:v>4.2172950755840182</x:v>
      </x:c>
      <x:c r="K154" s="5">
        <x:v>4.2172950755840182</x:v>
      </x:c>
      <x:c r="L154" s="10">
        <x:v>4.5892866371829104</x:v>
      </x:c>
      <x:c r="M154"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54" s="1" t="s">
        <x:v>304</x:v>
      </x:c>
      <x:c r="O154" s="1">
        <x:v>994556842</x:v>
      </x:c>
      <x:c r="P154" s="1">
        <x:v>259.53870000000001</x:v>
      </x:c>
      <x:c r="Q154" s="7">
        <x:v>3.832017506445089</x:v>
      </x:c>
      <x:c r="R154" s="5">
        <x:v>3.832017506445089</x:v>
      </x:c>
      <x:c r="S154" s="15">
        <x:v>1.47</x:v>
      </x:c>
      <x:c r="T154" s="1" t="s">
        <x:v>422</x:v>
      </x:c>
      <x:c r="U154" s="1" t="s">
        <x:v>304</x:v>
      </x:c>
      <x:c r="V154">
        <x:v>-0.32</x:v>
      </x:c>
      <x:c r="W154" s="17" t="s">
        <x:v>97</x:v>
      </x:c>
      <x:c r="X154" s="17">
        <x:f t="shared" si="9"/>
        <x:v>231754</x:v>
      </x:c>
      <x:c r="Y154" t="str">
        <x:f t="shared" si="10"/>
        <x:v>1 + -1.38 = -0.38</x:v>
      </x:c>
      <x:c r="Z154" t="str">
        <x:f t="shared" si="11"/>
        <x:v>1 + 4.22 = 5.22</x:v>
      </x:c>
    </x:row>
    <x:row r="155">
      <x:c r="A155" s="1" t="s">
        <x:v>492</x:v>
      </x:c>
      <x:c r="B155" s="1" t="s">
        <x:v>493</x:v>
      </x:c>
      <x:c r="C155" s="1" t="str">
        <x:v>Micronesia (Micronésie)</x:v>
      </x:c>
      <x:c r="D155" s="1" t="str">
        <x:v>46 autres pays</x:v>
      </x:c>
      <x:c r="E155" s="1">
        <x:v>30</x:v>
      </x:c>
      <x:c r="F155" s="1">
        <x:v>0.26103999999999999</x:v>
      </x:c>
      <x:c r="G155" s="2">
        <x:v>18165</x:v>
      </x:c>
      <x:c r="H155" s="1">
        <x:v>181650</x:v>
      </x:c>
      <x:c r="I155" s="4">
        <x:v>673859.03052758076</x:v>
      </x:c>
      <x:c r="J155" s="20">
        <x:f t="shared" si="8"/>
        <x:v>2.5814397430569289</x:v>
      </x:c>
      <x:c r="K155" s="5">
        <x:v>2.5814397430569289</x:v>
      </x:c>
      <x:c r="L155" s="10">
        <x:v>4.5892866371829104</x:v>
      </x:c>
      <x:c r="M155"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55" s="1" t="s">
        <x:v>494</x:v>
      </x:c>
      <x:c r="O155" s="1">
        <x:v>1683859170</x:v>
      </x:c>
      <x:c r="P155" s="1">
        <x:v>404.02890000000002</x:v>
      </x:c>
      <x:c r="Q155" s="7">
        <x:v>4.1676701097371991</x:v>
      </x:c>
      <x:c r="R155" s="5">
        <x:v>4.1676701097371991</x:v>
      </x:c>
      <x:c r="S155" s="15">
        <x:v>1.47</x:v>
      </x:c>
      <x:c r="T155" s="1" t="s">
        <x:v>422</x:v>
      </x:c>
      <x:c r="U155" s="1" t="s">
        <x:v>494</x:v>
      </x:c>
      <x:c r="V155">
        <x:v>0.2</x:v>
      </x:c>
      <x:c r="W155" s="17" t="s">
        <x:v>495</x:v>
      </x:c>
      <x:c r="X155" s="17">
        <x:f t="shared" si="9"/>
        <x:v>261040</x:v>
      </x:c>
      <x:c r="Y155" t="str">
        <x:f t="shared" si="10"/>
        <x:v>1 + 0.77 = 1.77</x:v>
      </x:c>
      <x:c r="Z155" t="str">
        <x:f t="shared" si="11"/>
        <x:v>1 + 2.58 = 3.58</x:v>
      </x:c>
    </x:row>
    <x:row r="156">
      <x:c r="A156" s="1" t="s">
        <x:v>496</x:v>
      </x:c>
      <x:c r="B156" s="1" t="s">
        <x:v>497</x:v>
      </x:c>
      <x:c r="C156" s="1" t="str">
        <x:v>Moldova (Moldavie)</x:v>
      </x:c>
      <x:c r="D156" s="1" t="str">
        <x:v>46 autres pays</x:v>
      </x:c>
      <x:c r="E156" s="1">
        <x:v>10</x:v>
      </x:c>
      <x:c r="F156" s="1">
        <x:v>13.38747</x:v>
      </x:c>
      <x:c r="G156" s="2">
        <x:v>123713</x:v>
      </x:c>
      <x:c r="H156" s="1">
        <x:v>1237130</x:v>
      </x:c>
      <x:c r="I156" s="4">
        <x:v>4589326.8507381547</x:v>
      </x:c>
      <x:c r="J156" s="20">
        <x:f t="shared" si="8"/>
        <x:v>0.34280762912918983</x:v>
      </x:c>
      <x:c r="K156" s="5">
        <x:v>0.34280762912918983</x:v>
      </x:c>
      <x:c r="L156" s="10">
        <x:v>4.5892866371829104</x:v>
      </x:c>
      <x:c r="M156"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56" s="1" t="s">
        <x:v>495</x:v>
      </x:c>
      <x:c r="O156" s="1">
        <x:v>11467947674</x:v>
      </x:c>
      <x:c r="P156" s="1">
        <x:v>13679.22133</x:v>
      </x:c>
      <x:c r="Q156" s="7">
        <x:v>0.83834798760435003</x:v>
      </x:c>
      <x:c r="R156" s="5">
        <x:v>0.83834798760435003</x:v>
      </x:c>
      <x:c r="S156" s="15">
        <x:v>1.47</x:v>
      </x:c>
      <x:c r="T156" s="1" t="s">
        <x:v>422</x:v>
      </x:c>
      <x:c r="U156" s="1" t="s">
        <x:v>495</x:v>
      </x:c>
      <x:c r="V156">
        <x:v>0</x:v>
      </x:c>
      <x:c r="W156" s="17" t="s">
        <x:v>498</x:v>
      </x:c>
      <x:c r="X156" s="17">
        <x:f t="shared" si="9"/>
        <x:v>13387470</x:v>
      </x:c>
      <x:c r="Y156" t="str">
        <x:f t="shared" si="10"/>
        <x:v>1 + 0.00 = 1.00</x:v>
      </x:c>
      <x:c r="Z156" t="str">
        <x:f t="shared" si="11"/>
        <x:v>1 + 0.34 = 1.34</x:v>
      </x:c>
    </x:row>
    <x:row r="157">
      <x:c r="A157" s="1" t="s">
        <x:v>499</x:v>
      </x:c>
      <x:c r="B157" s="1" t="s">
        <x:v>500</x:v>
      </x:c>
      <x:c r="C157" s="1" t="str">
        <x:v>Montenegro (Monténégro)</x:v>
      </x:c>
      <x:c r="D157" s="1" t="str">
        <x:v>46 autres pays</x:v>
      </x:c>
      <x:c r="E157" s="1">
        <x:v>10</x:v>
      </x:c>
      <x:c r="F157" s="1">
        <x:v>3.8302269999999998</x:v>
      </x:c>
      <x:c r="G157" s="2">
        <x:v>80018</x:v>
      </x:c>
      <x:c r="H157" s="1">
        <x:v>800180</x:v>
      </x:c>
      <x:c r="I157" s="4">
        <x:v>7289364.6179331653</x:v>
      </x:c>
      <x:c r="J157" s="20">
        <x:f t="shared" si="8"/>
        <x:v>1.903115564151463</x:v>
      </x:c>
      <x:c r="K157" s="5">
        <x:v>1.903115564151463</x:v>
      </x:c>
      <x:c r="L157" s="10">
        <x:v>4.5892866371829104</x:v>
      </x:c>
      <x:c r="M157"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57" s="1" t="s">
        <x:v>501</x:v>
      </x:c>
      <x:c r="O157" s="1">
        <x:v>7417508564</x:v>
      </x:c>
      <x:c r="P157" s="1">
        <x:v>5861.2680389999996</x:v>
      </x:c>
      <x:c r="Q157" s="7">
        <x:v>1.2655126014788964</x:v>
      </x:c>
      <x:c r="R157" s="5">
        <x:v>1.2655126014788964</x:v>
      </x:c>
      <x:c r="S157" s="15">
        <x:v>1.47</x:v>
      </x:c>
      <x:c r="T157" s="1" t="s">
        <x:v>422</x:v>
      </x:c>
      <x:c r="U157" s="1" t="s">
        <x:v>501</x:v>
      </x:c>
      <x:c r="V157">
        <x:v>0.02</x:v>
      </x:c>
      <x:c r="W157" s="17" t="s">
        <x:v>501</x:v>
      </x:c>
      <x:c r="X157" s="17">
        <x:f t="shared" si="9"/>
        <x:v>3830227</x:v>
      </x:c>
      <x:c r="Y157" t="str">
        <x:f t="shared" si="10"/>
        <x:v>1 + 0.01 = 1.01</x:v>
      </x:c>
      <x:c r="Z157" t="str">
        <x:f t="shared" si="11"/>
        <x:v>1 + 1.90 = 2.90</x:v>
      </x:c>
    </x:row>
    <x:row r="158">
      <x:c r="A158" s="1" t="s">
        <x:v>502</x:v>
      </x:c>
      <x:c r="B158" s="1" t="s">
        <x:v>503</x:v>
      </x:c>
      <x:c r="C158" s="1" t="str">
        <x:v>Nauru (Nauru)</x:v>
      </x:c>
      <x:c r="D158" s="1" t="str">
        <x:v>46 autres pays</x:v>
      </x:c>
      <x:c r="E158" s="1">
        <x:v>30</x:v>
      </x:c>
      <x:c r="F158" s="1">
        <x:v>6.9995000000000002E-2</x:v>
      </x:c>
      <x:c r="G158" s="2">
        <x:v>10729</x:v>
      </x:c>
      <x:c r="H158" s="1">
        <x:v>107290</x:v>
      </x:c>
      <x:c r="I158" s="4">
        <x:v>687692.00294689857</x:v>
      </x:c>
      <x:c r="J158" s="20">
        <x:f t="shared" si="8"/>
        <x:v>9.8248732473305029</x:v>
      </x:c>
      <x:c r="K158" s="5">
        <x:v>9.8248732473305029</x:v>
      </x:c>
      <x:c r="L158" s="10">
        <x:v>4.5892866371829104</x:v>
      </x:c>
      <x:c r="M158"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58" s="1" t="s">
        <x:v>504</x:v>
      </x:c>
      <x:c r="O158" s="1">
        <x:v>994556842</x:v>
      </x:c>
      <x:c r="P158" s="1">
        <x:v>133.2188969</x:v>
      </x:c>
      <x:c r="Q158" s="7">
        <x:v>7.4655838258933969</x:v>
      </x:c>
      <x:c r="R158" s="5">
        <x:v>7.4655838258933969</x:v>
      </x:c>
      <x:c r="S158" s="15">
        <x:v>1.47</x:v>
      </x:c>
      <x:c r="T158" s="1" t="s">
        <x:v>422</x:v>
      </x:c>
      <x:c r="U158" s="1" t="s">
        <x:v>504</x:v>
      </x:c>
      <x:c r="V158">
        <x:v>0</x:v>
      </x:c>
      <x:c r="W158" s="17" t="s">
        <x:v>504</x:v>
      </x:c>
      <x:c r="X158" s="17">
        <x:f t="shared" si="9"/>
        <x:v>69995</x:v>
      </x:c>
      <x:c r="Y158" t="str">
        <x:f t="shared" si="10"/>
        <x:v>1 + 0.00 = 1.00</x:v>
      </x:c>
      <x:c r="Z158" t="str">
        <x:f t="shared" si="11"/>
        <x:v>1 + 9.82 = 10.82</x:v>
      </x:c>
    </x:row>
    <x:row r="159">
      <x:c r="A159" s="1" t="s">
        <x:v>505</x:v>
      </x:c>
      <x:c r="B159" s="1" t="s">
        <x:v>506</x:v>
      </x:c>
      <x:c r="C159" s="1" t="str">
        <x:v>New Zealand (Nouvelle-Zélande)</x:v>
      </x:c>
      <x:c r="D159" s="1" t="str">
        <x:v>46 autres pays</x:v>
      </x:c>
      <x:c r="E159" s="1">
        <x:v>30</x:v>
      </x:c>
      <x:c r="F159" s="1">
        <x:v>83.200999999999993</x:v>
      </x:c>
      <x:c r="G159" s="2">
        <x:v>10082788</x:v>
      </x:c>
      <x:c r="H159" s="1">
        <x:v>100827880</x:v>
      </x:c>
      <x:c r="I159" s="4">
        <x:v>1190742588.0712979</x:v>
      </x:c>
      <x:c r="J159" s="20">
        <x:f t="shared" si="8"/>
        <x:v>14.311637937900962</x:v>
      </x:c>
      <x:c r="K159" s="5">
        <x:v>14.311637937900962</x:v>
      </x:c>
      <x:c r="L159" s="10">
        <x:v>4.5892866371829104</x:v>
      </x:c>
      <x:c r="M159"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59" s="1" t="s">
        <x:v>507</x:v>
      </x:c>
      <x:c r="O159" s="1">
        <x:v>934654282024</x:v>
      </x:c>
      <x:c r="P159" s="1">
        <x:v>249885.68700000001</x:v>
      </x:c>
      <x:c r="Q159" s="7">
        <x:v>3.740327400280433</x:v>
      </x:c>
      <x:c r="R159" s="5">
        <x:v>3.740327400280433</x:v>
      </x:c>
      <x:c r="S159" s="15">
        <x:v>1.47</x:v>
      </x:c>
      <x:c r="T159" s="1" t="s">
        <x:v>422</x:v>
      </x:c>
      <x:c r="U159" s="1" t="s">
        <x:v>507</x:v>
      </x:c>
      <x:c r="V159">
        <x:v>-13.08</x:v>
      </x:c>
      <x:c r="W159" s="17" t="s">
        <x:v>507</x:v>
      </x:c>
      <x:c r="X159" s="17">
        <x:f t="shared" si="9"/>
        <x:v>83201000</x:v>
      </x:c>
      <x:c r="Y159" t="str">
        <x:f t="shared" si="10"/>
        <x:v>1 + -0.16 = 0.84</x:v>
      </x:c>
      <x:c r="Z159" t="str">
        <x:f t="shared" si="11"/>
        <x:v>1 + 14.31 = 15.31</x:v>
      </x:c>
    </x:row>
    <x:row r="160">
      <x:c r="A160" s="1" t="s">
        <x:v>508</x:v>
      </x:c>
      <x:c r="B160" s="1" t="s">
        <x:v>509</x:v>
      </x:c>
      <x:c r="C160" s="1" t="str">
        <x:v>Niue (Niue)</x:v>
      </x:c>
      <x:c r="D160" s="1" t="str">
        <x:v>46 autres pays</x:v>
      </x:c>
      <x:c r="E160" s="1">
        <x:v>30</x:v>
      </x:c>
      <x:c r="F160" s="1">
        <x:v>8.5730000000000008E-3</x:v>
      </x:c>
      <x:c r="G160" s="2">
        <x:v>113</x:v>
      </x:c>
      <x:c r="H160" s="1">
        <x:v>1130</x:v>
      </x:c>
      <x:c r="I160" s="4">
        <x:v>4191.9113927672242</x:v>
      </x:c>
      <x:c r="J160" s="20">
        <x:f t="shared" si="8"/>
        <x:v>0.48896668526387776</x:v>
      </x:c>
      <x:c r="K160" s="5">
        <x:v>0.48896668526387776</x:v>
      </x:c>
      <x:c r="L160" s="10">
        <x:v>4.5892866371829104</x:v>
      </x:c>
      <x:c r="M160"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60" s="1" t="s">
        <x:v>510</x:v>
      </x:c>
      <x:c r="O160" s="1">
        <x:v>10474874</x:v>
      </x:c>
      <x:c r="P160" s="1">
        <x:v>24.937999999999999</x:v>
      </x:c>
      <x:c r="Q160" s="7">
        <x:v>0.42003665089421766</x:v>
      </x:c>
      <x:c r="R160" s="5">
        <x:v>0.42003665089421766</x:v>
      </x:c>
      <x:c r="S160" s="15">
        <x:v>1.47</x:v>
      </x:c>
      <x:c r="T160" s="1" t="s">
        <x:v>422</x:v>
      </x:c>
      <x:c r="U160" s="1" t="s">
        <x:v>510</x:v>
      </x:c>
      <x:c r="V160">
        <x:v>0</x:v>
      </x:c>
      <x:c r="W160" s="17" t="s">
        <x:v>510</x:v>
      </x:c>
      <x:c r="X160" s="17">
        <x:f t="shared" si="9"/>
        <x:v>8573</x:v>
      </x:c>
      <x:c r="Y160" t="str">
        <x:f t="shared" si="10"/>
        <x:v>1 + 0.00 = 1.00</x:v>
      </x:c>
      <x:c r="Z160" t="str">
        <x:f t="shared" si="11"/>
        <x:v>1 + 0.49 = 1.49</x:v>
      </x:c>
    </x:row>
    <x:row r="161">
      <x:c r="A161" s="1" t="s">
        <x:v>511</x:v>
      </x:c>
      <x:c r="B161" s="1" t="s">
        <x:v>512</x:v>
      </x:c>
      <x:c r="C161" s="1" t="str">
        <x:v>Norway (Norvège)</x:v>
      </x:c>
      <x:c r="D161" s="1" t="str">
        <x:v>46 autres pays</x:v>
      </x:c>
      <x:c r="E161" s="1">
        <x:v>10</x:v>
      </x:c>
      <x:c r="F161" s="1">
        <x:v>45.902349999999998</x:v>
      </x:c>
      <x:c r="G161" s="2">
        <x:v>869136</x:v>
      </x:c>
      <x:c r="H161" s="1">
        <x:v>8691360</x:v>
      </x:c>
      <x:c r="I161" s="4">
        <x:v>55708628.63950561</x:v>
      </x:c>
      <x:c r="J161" s="20">
        <x:f t="shared" si="8"/>
        <x:v>1.21363347714236</x:v>
      </x:c>
      <x:c r="K161" s="5">
        <x:v>1.21363347714236</x:v>
      </x:c>
      <x:c r="L161" s="10">
        <x:v>4.5892866371829104</x:v>
      </x:c>
      <x:c r="M16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61" s="1" t="s">
        <x:v>513</x:v>
      </x:c>
      <x:c r="O161" s="1">
        <x:v>80567168928</x:v>
      </x:c>
      <x:c r="P161" s="1">
        <x:v>482174.85450000002</x:v>
      </x:c>
      <x:c r="Q161" s="7">
        <x:v>0.16709118730703118</x:v>
      </x:c>
      <x:c r="R161" s="5">
        <x:v>0.16709118730703118</x:v>
      </x:c>
      <x:c r="S161" s="15">
        <x:v>1.47</x:v>
      </x:c>
      <x:c r="T161" s="1" t="s">
        <x:v>422</x:v>
      </x:c>
      <x:c r="U161" s="1" t="s">
        <x:v>513</x:v>
      </x:c>
      <x:c r="V161">
        <x:v>-3.6</x:v>
      </x:c>
      <x:c r="W161" s="17" t="s">
        <x:v>513</x:v>
      </x:c>
      <x:c r="X161" s="17">
        <x:f t="shared" si="9"/>
        <x:v>45902350</x:v>
      </x:c>
      <x:c r="Y161" t="str">
        <x:f t="shared" si="10"/>
        <x:v>1 + -0.08 = 0.92</x:v>
      </x:c>
      <x:c r="Z161" t="str">
        <x:f t="shared" si="11"/>
        <x:v>1 + 1.21 = 2.21</x:v>
      </x:c>
    </x:row>
    <x:row r="162">
      <x:c r="A162" s="1" t="s">
        <x:v>514</x:v>
      </x:c>
      <x:c r="B162" s="1" t="s">
        <x:v>515</x:v>
      </x:c>
      <x:c r="C162" s="1" t="str">
        <x:v>Palau (Palaos)</x:v>
      </x:c>
      <x:c r="D162" s="1" t="str">
        <x:v>46 autres pays</x:v>
      </x:c>
      <x:c r="E162" s="1">
        <x:v>30</x:v>
      </x:c>
      <x:c r="F162" s="1">
        <x:v>0.28700399999999998</x:v>
      </x:c>
      <x:c r="G162" s="2">
        <x:v>10729</x:v>
      </x:c>
      <x:c r="H162" s="1">
        <x:v>107290</x:v>
      </x:c>
      <x:c r="I162" s="4">
        <x:v>977375.00294689857</x:v>
      </x:c>
      <x:c r="J162" s="20">
        <x:f t="shared" si="8"/>
        <x:v>3.4054403525626773</x:v>
      </x:c>
      <x:c r="K162" s="5">
        <x:v>3.4054403525626773</x:v>
      </x:c>
      <x:c r="L162" s="10">
        <x:v>4.5892866371829104</x:v>
      </x:c>
      <x:c r="M16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62" s="1" t="s">
        <x:v>516</x:v>
      </x:c>
      <x:c r="O162" s="1">
        <x:v>994556842</x:v>
      </x:c>
      <x:c r="P162" s="1">
        <x:v>217.8</x:v>
      </x:c>
      <x:c r="Q162" s="7">
        <x:v>4.5663766850321394</x:v>
      </x:c>
      <x:c r="R162" s="5">
        <x:v>4.5663766850321394</x:v>
      </x:c>
      <x:c r="S162" s="15">
        <x:v>1.47</x:v>
      </x:c>
      <x:c r="T162" s="1" t="s">
        <x:v>422</x:v>
      </x:c>
      <x:c r="U162" s="1" t="s">
        <x:v>516</x:v>
      </x:c>
      <x:c r="V162">
        <x:v>-0.04</x:v>
      </x:c>
      <x:c r="W162" s="17" t="s">
        <x:v>516</x:v>
      </x:c>
      <x:c r="X162" s="17">
        <x:f t="shared" si="9"/>
        <x:v>287004</x:v>
      </x:c>
      <x:c r="Y162" t="str">
        <x:f t="shared" si="10"/>
        <x:v>1 + -0.14 = 0.86</x:v>
      </x:c>
      <x:c r="Z162" t="str">
        <x:f t="shared" si="11"/>
        <x:v>1 + 3.41 = 4.41</x:v>
      </x:c>
    </x:row>
    <x:row r="163">
      <x:c r="A163" s="1" t="s">
        <x:v>517</x:v>
      </x:c>
      <x:c r="B163" s="1" t="s">
        <x:v>518</x:v>
      </x:c>
      <x:c r="C163" s="1" t="str">
        <x:v>Papua New Guinea (Papouasie-Nouvelle-Guinée)</x:v>
      </x:c>
      <x:c r="D163" s="1" t="str">
        <x:v>46 autres pays</x:v>
      </x:c>
      <x:c r="E163" s="1">
        <x:v>30</x:v>
      </x:c>
      <x:c r="F163" s="1">
        <x:v>22.413799999999998</x:v>
      </x:c>
      <x:c r="G163" s="2">
        <x:v>92334</x:v>
      </x:c>
      <x:c r="H163" s="1">
        <x:v>923340</x:v>
      </x:c>
      <x:c r="I163" s="4">
        <x:v>8411309.8631837964</x:v>
      </x:c>
      <x:c r="J163" s="20">
        <x:f t="shared" si="8"/>
        <x:v>0.37527370919628961</x:v>
      </x:c>
      <x:c r="K163" s="5">
        <x:v>0.37527370919628961</x:v>
      </x:c>
      <x:c r="L163" s="10">
        <x:v>4.5892866371829104</x:v>
      </x:c>
      <x:c r="M163"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163" s="1" t="s">
        <x:v>519</x:v>
      </x:c>
      <x:c r="O163" s="1">
        <x:v>8559177132</x:v>
      </x:c>
      <x:c r="P163" s="1">
        <x:v>26594.30575</x:v>
      </x:c>
      <x:c r="Q163" s="7">
        <x:v>0.32184247306399416</x:v>
      </x:c>
      <x:c r="R163" s="5">
        <x:v>0.32184247306399416</x:v>
      </x:c>
      <x:c r="S163" s="15">
        <x:v>1.47</x:v>
      </x:c>
      <x:c r="T163" s="1" t="s">
        <x:v>422</x:v>
      </x:c>
      <x:c r="U163" s="1" t="s">
        <x:v>519</x:v>
      </x:c>
      <x:c r="V163">
        <x:v>30.02</x:v>
      </x:c>
      <x:c r="W163" s="17" t="s">
        <x:v>519</x:v>
      </x:c>
      <x:c r="X163" s="17">
        <x:f t="shared" si="9"/>
        <x:v>22413800</x:v>
      </x:c>
      <x:c r="Y163" t="str">
        <x:f t="shared" si="10"/>
        <x:v>1 + 1.34 = 2.34</x:v>
      </x:c>
      <x:c r="Z163" t="str">
        <x:f t="shared" si="11"/>
        <x:v>1 + 0.38 = 1.38</x:v>
      </x:c>
    </x:row>
    <x:row r="164">
      <x:c r="A164" s="1" t="s">
        <x:v>520</x:v>
      </x:c>
      <x:c r="B164" s="1" t="s">
        <x:v>521</x:v>
      </x:c>
      <x:c r="C164" s="1" t="str">
        <x:v>Saint Kitts and Nevis (Saint-Christophe-et-Niévès)</x:v>
      </x:c>
      <x:c r="D164" s="1" t="str">
        <x:v>46 autres pays</x:v>
      </x:c>
      <x:c r="E164" s="1">
        <x:v>30</x:v>
      </x:c>
      <x:c r="F164" s="1">
        <x:v>0.35073300000000002</x:v>
      </x:c>
      <x:c r="G164" s="2">
        <x:v>1933</x:v>
      </x:c>
      <x:c r="H164" s="1">
        <x:v>19330</x:v>
      </x:c>
      <x:c r="I164" s="4">
        <x:v>176089.65240901808</x:v>
      </x:c>
      <x:c r="J164" s="20">
        <x:f t="shared" si="8"/>
        <x:v>0.5020618316754285</x:v>
      </x:c>
      <x:c r="K164" s="5">
        <x:v>0.5020618316754285</x:v>
      </x:c>
      <x:c r="L164" s="10">
        <x:v>4.5892866371829104</x:v>
      </x:c>
      <x:c r="M164"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164" s="1" t="s">
        <x:v>522</x:v>
      </x:c>
      <x:c r="O164" s="1">
        <x:v>179185234</x:v>
      </x:c>
      <x:c r="P164" s="1">
        <x:v>860.84074069999997</x:v>
      </x:c>
      <x:c r="Q164" s="7">
        <x:v>0.20815143327707053</x:v>
      </x:c>
      <x:c r="R164" s="5">
        <x:v>0.20815143327707053</x:v>
      </x:c>
      <x:c r="S164" s="15">
        <x:v>1.47</x:v>
      </x:c>
      <x:c r="T164" s="1" t="s">
        <x:v>422</x:v>
      </x:c>
      <x:c r="U164" s="1" t="s">
        <x:v>522</x:v>
      </x:c>
      <x:c r="V164">
        <x:v>-0.01</x:v>
      </x:c>
      <x:c r="W164" s="17" t="s">
        <x:v>523</x:v>
      </x:c>
      <x:c r="X164" s="17">
        <x:f t="shared" si="9"/>
        <x:v>350733</x:v>
      </x:c>
      <x:c r="Y164" t="str">
        <x:f t="shared" si="10"/>
        <x:v>1 + -0.03 = 0.97</x:v>
      </x:c>
      <x:c r="Z164" t="str">
        <x:f t="shared" si="11"/>
        <x:v>1 + 0.50 = 1.50</x:v>
      </x:c>
    </x:row>
    <x:row r="165">
      <x:c r="A165" s="1" t="s">
        <x:v>524</x:v>
      </x:c>
      <x:c r="B165" s="1" t="s">
        <x:v>525</x:v>
      </x:c>
      <x:c r="C165" s="1" t="str">
        <x:v>Saint Lucia (Sainte-Lucie)</x:v>
      </x:c>
      <x:c r="D165" s="1" t="str">
        <x:v>46 autres pays</x:v>
      </x:c>
      <x:c r="E165" s="1">
        <x:v>30</x:v>
      </x:c>
      <x:c r="F165" s="1">
        <x:v>0.88165000000000004</x:v>
      </x:c>
      <x:c r="G165" s="2">
        <x:v>10729</x:v>
      </x:c>
      <x:c r="H165" s="1">
        <x:v>107290</x:v>
      </x:c>
      <x:c r="I165" s="4">
        <x:v>977375.00294689857</x:v>
      </x:c>
      <x:c r="J165" s="20">
        <x:f t="shared" si="8"/>
        <x:v>1.1085748346247362</x:v>
      </x:c>
      <x:c r="K165" s="5">
        <x:v>1.1085748346247362</x:v>
      </x:c>
      <x:c r="L165" s="10">
        <x:v>4.5892866371829104</x:v>
      </x:c>
      <x:c r="M165"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65" s="1" t="s">
        <x:v>526</x:v>
      </x:c>
      <x:c r="O165" s="1">
        <x:v>994556842</x:v>
      </x:c>
      <x:c r="P165" s="1">
        <x:v>1691.275157</x:v>
      </x:c>
      <x:c r="Q165" s="7">
        <x:v>0.58805146985316947</x:v>
      </x:c>
      <x:c r="R165" s="5">
        <x:v>0.58805146985316947</x:v>
      </x:c>
      <x:c r="S165" s="15">
        <x:v>1.47</x:v>
      </x:c>
      <x:c r="T165" s="1" t="s">
        <x:v>422</x:v>
      </x:c>
      <x:c r="U165" s="1" t="s">
        <x:v>526</x:v>
      </x:c>
      <x:c r="V165">
        <x:v>0</x:v>
      </x:c>
      <x:c r="W165" s="17" t="s">
        <x:v>522</x:v>
      </x:c>
      <x:c r="X165" s="17">
        <x:f t="shared" si="9"/>
        <x:v>881650</x:v>
      </x:c>
      <x:c r="Y165" t="str">
        <x:f t="shared" si="10"/>
        <x:v>1 + 0.00 = 1.00</x:v>
      </x:c>
      <x:c r="Z165" t="str">
        <x:f t="shared" si="11"/>
        <x:v>1 + 1.11 = 2.11</x:v>
      </x:c>
    </x:row>
    <x:row r="166">
      <x:c r="A166" s="1" t="s">
        <x:v>527</x:v>
      </x:c>
      <x:c r="B166" s="1" t="s">
        <x:v>528</x:v>
      </x:c>
      <x:c r="C166" s="1" t="str">
        <x:v>Saint Vincent and the Grenadines (Saint-Vincent-et-les-Grenadines)</x:v>
      </x:c>
      <x:c r="D166" s="1" t="str">
        <x:v>46 autres pays</x:v>
      </x:c>
      <x:c r="E166" s="1">
        <x:v>30</x:v>
      </x:c>
      <x:c r="F166" s="1">
        <x:v>0.33935199999999999</x:v>
      </x:c>
      <x:c r="G166" s="2">
        <x:v>3551</x:v>
      </x:c>
      <x:c r="H166" s="1">
        <x:v>35510</x:v>
      </x:c>
      <x:c r="I166" s="4">
        <x:v>323483.88810368505</x:v>
      </x:c>
      <x:c r="J166" s="20">
        <x:f t="shared" si="8"/>
        <x:v>0.9532399635295653</x:v>
      </x:c>
      <x:c r="K166" s="5">
        <x:v>0.9532399635295653</x:v>
      </x:c>
      <x:c r="L166" s="10">
        <x:v>4.5892866371829104</x:v>
      </x:c>
      <x:c r="M166"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66" s="1" t="s">
        <x:v>529</x:v>
      </x:c>
      <x:c r="O166" s="1">
        <x:v>329170598</x:v>
      </x:c>
      <x:c r="P166" s="1">
        <x:v>904.1814928</x:v>
      </x:c>
      <x:c r="Q166" s="7">
        <x:v>0.36405367796309313</x:v>
      </x:c>
      <x:c r="R166" s="5">
        <x:v>0.36405367796309313</x:v>
      </x:c>
      <x:c r="S166" s="15">
        <x:v>1.47</x:v>
      </x:c>
      <x:c r="T166" s="1" t="s">
        <x:v>422</x:v>
      </x:c>
      <x:c r="U166" s="1" t="s">
        <x:v>529</x:v>
      </x:c>
      <x:c r="V166">
        <x:v>-0.31</x:v>
      </x:c>
      <x:c r="W166" s="17" t="s">
        <x:v>526</x:v>
      </x:c>
      <x:c r="X166" s="17">
        <x:f t="shared" si="9"/>
        <x:v>339352</x:v>
      </x:c>
      <x:c r="Y166" t="str">
        <x:f t="shared" si="10"/>
        <x:v>1 + -0.91 = 0.09</x:v>
      </x:c>
      <x:c r="Z166" t="str">
        <x:f t="shared" si="11"/>
        <x:v>1 + 0.95 = 1.95</x:v>
      </x:c>
    </x:row>
    <x:row r="167">
      <x:c r="A167" s="1" t="s">
        <x:v>530</x:v>
      </x:c>
      <x:c r="B167" s="1" t="s">
        <x:v>531</x:v>
      </x:c>
      <x:c r="C167" s="1" t="str">
        <x:v>Samoa (Samoa)</x:v>
      </x:c>
      <x:c r="D167" s="1" t="str">
        <x:v>46 autres pays</x:v>
      </x:c>
      <x:c r="E167" s="1">
        <x:v>30</x:v>
      </x:c>
      <x:c r="F167" s="1">
        <x:v>0.68445900000000004</x:v>
      </x:c>
      <x:c r="G167" s="2">
        <x:v>48008</x:v>
      </x:c>
      <x:c r="H167" s="1">
        <x:v>480080</x:v>
      </x:c>
      <x:c r="I167" s="4">
        <x:v>3077147.7003891049</x:v>
      </x:c>
      <x:c r="J167" s="20">
        <x:f t="shared" si="8"/>
        <x:v>4.495737071744407</x:v>
      </x:c>
      <x:c r="K167" s="5">
        <x:v>4.495737071744407</x:v>
      </x:c>
      <x:c r="L167" s="10">
        <x:v>4.5892866371829104</x:v>
      </x:c>
      <x:c r="M167"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67" s="1" t="s">
        <x:v>120</x:v>
      </x:c>
      <x:c r="O167" s="1">
        <x:v>4450245584</x:v>
      </x:c>
      <x:c r="P167" s="1">
        <x:v>843.84241650000001</x:v>
      </x:c>
      <x:c r="Q167" s="7">
        <x:v>5.2737874951323924</x:v>
      </x:c>
      <x:c r="R167" s="5">
        <x:v>5.2737874951323924</x:v>
      </x:c>
      <x:c r="S167" s="15">
        <x:v>1.47</x:v>
      </x:c>
      <x:c r="T167" s="1" t="s">
        <x:v>422</x:v>
      </x:c>
      <x:c r="U167" s="1" t="s">
        <x:v>120</x:v>
      </x:c>
      <x:c r="V167">
        <x:v>0.01</x:v>
      </x:c>
      <x:c r="W167" s="17" t="s">
        <x:v>529</x:v>
      </x:c>
      <x:c r="X167" s="17">
        <x:f t="shared" si="9"/>
        <x:v>684459</x:v>
      </x:c>
      <x:c r="Y167" t="str">
        <x:f t="shared" si="10"/>
        <x:v>1 + 0.01 = 1.01</x:v>
      </x:c>
      <x:c r="Z167" t="str">
        <x:f t="shared" si="11"/>
        <x:v>1 + 4.50 = 5.50</x:v>
      </x:c>
    </x:row>
    <x:row r="168">
      <x:c r="A168" s="1" t="s">
        <x:v>532</x:v>
      </x:c>
      <x:c r="B168" s="1" t="s">
        <x:v>533</x:v>
      </x:c>
      <x:c r="C168" s="1" t="str">
        <x:v>Serbia (Serbie)</x:v>
      </x:c>
      <x:c r="D168" s="1" t="str">
        <x:v>46 autres pays</x:v>
      </x:c>
      <x:c r="E168" s="1">
        <x:v>10</x:v>
      </x:c>
      <x:c r="F168" s="1">
        <x:v>61.929850000000002</x:v>
      </x:c>
      <x:c r="G168" s="2">
        <x:v>886127</x:v>
      </x:c>
      <x:c r="H168" s="1">
        <x:v>8861270</x:v>
      </x:c>
      <x:c r="I168" s="4">
        <x:v>56797693.30742161</x:v>
      </x:c>
      <x:c r="J168" s="20">
        <x:f t="shared" si="8"/>
        <x:v>0.91712951520828179</x:v>
      </x:c>
      <x:c r="K168" s="5">
        <x:v>0.91712951520828179</x:v>
      </x:c>
      <x:c r="L168" s="10">
        <x:v>4.5892866371829104</x:v>
      </x:c>
      <x:c r="M168"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68" s="1" t="s">
        <x:v>534</x:v>
      </x:c>
      <x:c r="O168" s="1">
        <x:v>82142200646</x:v>
      </x:c>
      <x:c r="P168" s="1">
        <x:v>63082.04765</x:v>
      </x:c>
      <x:c r="Q168" s="7">
        <x:v>1.3021486097241486</x:v>
      </x:c>
      <x:c r="R168" s="5">
        <x:v>1.3021486097241486</x:v>
      </x:c>
      <x:c r="S168" s="15">
        <x:v>1.47</x:v>
      </x:c>
      <x:c r="T168" s="1" t="s">
        <x:v>422</x:v>
      </x:c>
      <x:c r="U168" s="1" t="s">
        <x:v>534</x:v>
      </x:c>
      <x:c r="V168">
        <x:v>-23.48</x:v>
      </x:c>
      <x:c r="W168" s="17" t="s">
        <x:v>534</x:v>
      </x:c>
      <x:c r="X168" s="17">
        <x:f t="shared" si="9"/>
        <x:v>61929850</x:v>
      </x:c>
      <x:c r="Y168" t="str">
        <x:f t="shared" si="10"/>
        <x:v>1 + -0.38 = 0.62</x:v>
      </x:c>
      <x:c r="Z168" t="str">
        <x:f t="shared" si="11"/>
        <x:v>1 + 0.92 = 1.92</x:v>
      </x:c>
    </x:row>
    <x:row r="169">
      <x:c r="A169" s="1" t="s">
        <x:v>535</x:v>
      </x:c>
      <x:c r="B169" s="1" t="s">
        <x:v>536</x:v>
      </x:c>
      <x:c r="C169" s="1" t="str">
        <x:v>Solomon Islands (Îles Salomon)</x:v>
      </x:c>
      <x:c r="D169" s="1" t="str">
        <x:v>46 autres pays</x:v>
      </x:c>
      <x:c r="E169" s="1">
        <x:v>20</x:v>
      </x:c>
      <x:c r="F169" s="1">
        <x:v>0.94494100000000003</x:v>
      </x:c>
      <x:c r="G169" s="2">
        <x:v>15400</x:v>
      </x:c>
      <x:c r="H169" s="1">
        <x:v>154000</x:v>
      </x:c>
      <x:c r="I169" s="4">
        <x:v>1402887.0393682765</x:v>
      </x:c>
      <x:c r="J169" s="20">
        <x:f t="shared" si="8"/>
        <x:v>1.4846292407338411</x:v>
      </x:c>
      <x:c r="K169" s="5">
        <x:v>1.4846292407338411</x:v>
      </x:c>
      <x:c r="L169" s="10">
        <x:v>4.5892866371829104</x:v>
      </x:c>
      <x:c r="M169"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69" s="1" t="s">
        <x:v>537</x:v>
      </x:c>
      <x:c r="O169" s="1">
        <x:v>1427549200</x:v>
      </x:c>
      <x:c r="P169" s="1">
        <x:v>1631.4865319999999</x:v>
      </x:c>
      <x:c r="Q169" s="7">
        <x:v>0.87499907109254638</x:v>
      </x:c>
      <x:c r="R169" s="5">
        <x:v>0.87499907109254638</x:v>
      </x:c>
      <x:c r="S169" s="15">
        <x:v>1.47</x:v>
      </x:c>
      <x:c r="T169" s="1" t="s">
        <x:v>422</x:v>
      </x:c>
      <x:c r="U169" s="1" t="s">
        <x:v>537</x:v>
      </x:c>
      <x:c r="V169">
        <x:v>0.48</x:v>
      </x:c>
      <x:c r="W169" s="17" t="s">
        <x:v>537</x:v>
      </x:c>
      <x:c r="X169" s="17">
        <x:f t="shared" si="9"/>
        <x:v>944941</x:v>
      </x:c>
      <x:c r="Y169" t="str">
        <x:f t="shared" si="10"/>
        <x:v>1 + 0.51 = 1.51</x:v>
      </x:c>
      <x:c r="Z169" t="str">
        <x:f t="shared" si="11"/>
        <x:v>1 + 1.48 = 2.48</x:v>
      </x:c>
    </x:row>
    <x:row r="170">
      <x:c r="A170" s="1" t="s">
        <x:v>538</x:v>
      </x:c>
      <x:c r="B170" s="1" t="s">
        <x:v>539</x:v>
      </x:c>
      <x:c r="C170" s="1" t="str">
        <x:v>Swaziland (Eswatini)</x:v>
      </x:c>
      <x:c r="D170" s="1" t="str">
        <x:v>46 autres pays</x:v>
      </x:c>
      <x:c r="E170" s="1">
        <x:v>30</x:v>
      </x:c>
      <x:c r="F170" s="1">
        <x:v>2.7887270000000002</x:v>
      </x:c>
      <x:c r="G170" s="2">
        <x:v>620560</x:v>
      </x:c>
      <x:c r="H170" s="1">
        <x:v>6205600</x:v>
      </x:c>
      <x:c r="I170" s="4">
        <x:v>23020641.892881669</x:v>
      </x:c>
      <x:c r="J170" s="20">
        <x:f t="shared" si="8"/>
        <x:v>8.2548926061538719</x:v>
      </x:c>
      <x:c r="K170" s="5">
        <x:v>8.2548926061538719</x:v>
      </x:c>
      <x:c r="L170" s="10">
        <x:v>4.5892866371829104</x:v>
      </x:c>
      <x:c r="M170"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70" s="1" t="s">
        <x:v>540</x:v>
      </x:c>
      <x:c r="O170" s="1">
        <x:v>57524670880</x:v>
      </x:c>
      <x:c r="P170" s="1">
        <x:v>4743.335153</x:v>
      </x:c>
      <x:c r="Q170" s="7">
        <x:v>12.127473396776017</x:v>
      </x:c>
      <x:c r="R170" s="5">
        <x:v>12.127473396776017</x:v>
      </x:c>
      <x:c r="S170" s="15">
        <x:v>1.47</x:v>
      </x:c>
      <x:c r="T170" s="1" t="s">
        <x:v>422</x:v>
      </x:c>
      <x:c r="U170" s="1" t="s">
        <x:v>540</x:v>
      </x:c>
      <x:c r="V170">
        <x:v>0.34</x:v>
      </x:c>
      <x:c r="W170" s="17" t="s">
        <x:v>541</x:v>
      </x:c>
      <x:c r="X170" s="17">
        <x:f t="shared" si="9"/>
        <x:v>2788727</x:v>
      </x:c>
      <x:c r="Y170" t="str">
        <x:f t="shared" si="10"/>
        <x:v>1 + 0.12 = 1.12</x:v>
      </x:c>
      <x:c r="Z170" t="str">
        <x:f t="shared" si="11"/>
        <x:v>1 + 8.25 = 9.25</x:v>
      </x:c>
    </x:row>
    <x:row r="171">
      <x:c r="A171" s="1" t="s">
        <x:v>542</x:v>
      </x:c>
      <x:c r="B171" s="1" t="s">
        <x:v>543</x:v>
      </x:c>
      <x:c r="C171" s="1" t="str">
        <x:v>Switzerland (Suisse)</x:v>
      </x:c>
      <x:c r="D171" s="1" t="str">
        <x:v>46 autres pays</x:v>
      </x:c>
      <x:c r="E171" s="1">
        <x:v>10</x:v>
      </x:c>
      <x:c r="F171" s="1">
        <x:v>46.498640000000002</x:v>
      </x:c>
      <x:c r="G171" s="2">
        <x:v>1515023</x:v>
      </x:c>
      <x:c r="H171" s="1">
        <x:v>15150230</x:v>
      </x:c>
      <x:c r="I171" s="4">
        <x:v>97107764.132782102</x:v>
      </x:c>
      <x:c r="J171" s="20">
        <x:f t="shared" si="8"/>
        <x:v>2.0884000936969791</x:v>
      </x:c>
      <x:c r="K171" s="5">
        <x:v>2.0884000936969791</x:v>
      </x:c>
      <x:c r="L171" s="10">
        <x:v>4.5892866371829104</x:v>
      </x:c>
      <x:c r="M17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71" s="1" t="s">
        <x:v>544</x:v>
      </x:c>
      <x:c r="O171" s="1">
        <x:v>140439602054</x:v>
      </x:c>
      <x:c r="P171" s="1">
        <x:v>800640.15540000005</x:v>
      </x:c>
      <x:c r="Q171" s="7">
        <x:v>0.17540914118132928</x:v>
      </x:c>
      <x:c r="R171" s="5">
        <x:v>0.17540914118132928</x:v>
      </x:c>
      <x:c r="S171" s="15">
        <x:v>1.47</x:v>
      </x:c>
      <x:c r="T171" s="1" t="s">
        <x:v>422</x:v>
      </x:c>
      <x:c r="U171" s="1" t="s">
        <x:v>544</x:v>
      </x:c>
      <x:c r="V171">
        <x:v>0.88</x:v>
      </x:c>
      <x:c r="W171" s="17" t="s">
        <x:v>544</x:v>
      </x:c>
      <x:c r="X171" s="17">
        <x:f t="shared" si="9"/>
        <x:v>46498640</x:v>
      </x:c>
      <x:c r="Y171" t="str">
        <x:f t="shared" si="10"/>
        <x:v>1 + 0.02 = 1.02</x:v>
      </x:c>
      <x:c r="Z171" t="str">
        <x:f t="shared" si="11"/>
        <x:v>1 + 2.09 = 3.09</x:v>
      </x:c>
    </x:row>
    <x:row r="172">
      <x:c r="A172" s="1" t="s">
        <x:v>545</x:v>
      </x:c>
      <x:c r="B172" s="1" t="s">
        <x:v>546</x:v>
      </x:c>
      <x:c r="C172" s="1" t="str">
        <x:v>Tonga (Tonga)</x:v>
      </x:c>
      <x:c r="D172" s="1" t="str">
        <x:v>46 autres pays</x:v>
      </x:c>
      <x:c r="E172" s="1">
        <x:v>30</x:v>
      </x:c>
      <x:c r="F172" s="1">
        <x:v>0.31133899999999998</x:v>
      </x:c>
      <x:c r="G172" s="2">
        <x:v>12069</x:v>
      </x:c>
      <x:c r="H172" s="1">
        <x:v>120690</x:v>
      </x:c>
      <x:c r="I172" s="4">
        <x:v>1099444.3946841382</x:v>
      </x:c>
      <x:c r="J172" s="20">
        <x:f t="shared" si="8"/>
        <x:v>3.5313417036867794</x:v>
      </x:c>
      <x:c r="K172" s="5">
        <x:v>3.5313417036867794</x:v>
      </x:c>
      <x:c r="L172" s="10">
        <x:v>4.5892866371829104</x:v>
      </x:c>
      <x:c r="M17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72" s="1" t="s">
        <x:v>547</x:v>
      </x:c>
      <x:c r="O172" s="1">
        <x:v>1118772162</x:v>
      </x:c>
      <x:c r="P172" s="1">
        <x:v>469.23130950000001</x:v>
      </x:c>
      <x:c r="Q172" s="7">
        <x:v>2.3842657967392094</x:v>
      </x:c>
      <x:c r="R172" s="5">
        <x:v>2.3842657967392094</x:v>
      </x:c>
      <x:c r="S172" s="15">
        <x:v>1.47</x:v>
      </x:c>
      <x:c r="T172" s="1" t="s">
        <x:v>422</x:v>
      </x:c>
      <x:c r="U172" s="1" t="s">
        <x:v>547</x:v>
      </x:c>
      <x:c r="V172">
        <x:v>0</x:v>
      </x:c>
      <x:c r="W172" s="17" t="s">
        <x:v>547</x:v>
      </x:c>
      <x:c r="X172" s="17">
        <x:f t="shared" si="9"/>
        <x:v>311339</x:v>
      </x:c>
      <x:c r="Y172" t="str">
        <x:f t="shared" si="10"/>
        <x:v>1 + 0.00 = 1.00</x:v>
      </x:c>
      <x:c r="Z172" t="str">
        <x:f t="shared" si="11"/>
        <x:v>1 + 3.53 = 4.53</x:v>
      </x:c>
    </x:row>
    <x:row r="173">
      <x:c r="A173" s="1" t="s">
        <x:v>548</x:v>
      </x:c>
      <x:c r="B173" s="1" t="s">
        <x:v>549</x:v>
      </x:c>
      <x:c r="C173" s="1" t="str">
        <x:v>Trinidad and Tobago (Trinité-et-Tobago)</x:v>
      </x:c>
      <x:c r="D173" s="1" t="str">
        <x:v>46 autres pays</x:v>
      </x:c>
      <x:c r="E173" s="1">
        <x:v>30</x:v>
      </x:c>
      <x:c r="F173" s="1">
        <x:v>28.344390000000001</x:v>
      </x:c>
      <x:c r="G173" s="2">
        <x:v>35291</x:v>
      </x:c>
      <x:c r="H173" s="1">
        <x:v>352910</x:v>
      </x:c>
      <x:c r="I173" s="4">
        <x:v>2262031.7341783019</x:v>
      </x:c>
      <x:c r="J173" s="20">
        <x:f t="shared" si="8"/>
        <x:v>7.9805271313946144E-2</x:v>
      </x:c>
      <x:c r="K173" s="5">
        <x:v>7.9805271313946144E-2</x:v>
      </x:c>
      <x:c r="L173" s="10">
        <x:v>4.5892866371829104</x:v>
      </x:c>
      <x:c r="M173"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173" s="1" t="s">
        <x:v>550</x:v>
      </x:c>
      <x:c r="O173" s="1">
        <x:v>3271405118</x:v>
      </x:c>
      <x:c r="P173" s="1">
        <x:v>24460.19627</x:v>
      </x:c>
      <x:c r="Q173" s="7">
        <x:v>0.13374402567702701</x:v>
      </x:c>
      <x:c r="R173" s="5">
        <x:v>0.13374402567702701</x:v>
      </x:c>
      <x:c r="S173" s="15">
        <x:v>1.47</x:v>
      </x:c>
      <x:c r="T173" s="1" t="s">
        <x:v>422</x:v>
      </x:c>
      <x:c r="U173" s="1" t="s">
        <x:v>550</x:v>
      </x:c>
      <x:c r="V173">
        <x:v>0.13</x:v>
      </x:c>
      <x:c r="W173" s="17" t="s">
        <x:v>550</x:v>
      </x:c>
      <x:c r="X173" s="17">
        <x:f t="shared" si="9"/>
        <x:v>28344390</x:v>
      </x:c>
      <x:c r="Y173" t="str">
        <x:f t="shared" si="10"/>
        <x:v>1 + 0.00 = 1.00</x:v>
      </x:c>
      <x:c r="Z173" t="str">
        <x:f t="shared" si="11"/>
        <x:v>1 + 0.08 = 1.08</x:v>
      </x:c>
    </x:row>
    <x:row r="174">
      <x:c r="A174" s="1" t="s">
        <x:v>551</x:v>
      </x:c>
      <x:c r="B174" s="1" t="s">
        <x:v>552</x:v>
      </x:c>
      <x:c r="C174" s="1" t="str">
        <x:v>Tuvalu (Tuvalu)</x:v>
      </x:c>
      <x:c r="D174" s="1" t="str">
        <x:v>46 autres pays</x:v>
      </x:c>
      <x:c r="E174" s="1">
        <x:v>30</x:v>
      </x:c>
      <x:c r="F174" s="1">
        <x:v>2.5873E-2</x:v>
      </x:c>
      <x:c r="G174" s="2">
        <x:v>10729</x:v>
      </x:c>
      <x:c r="H174" s="1">
        <x:v>107290</x:v>
      </x:c>
      <x:c r="I174" s="4">
        <x:v>687692.00294689857</x:v>
      </x:c>
      <x:c r="J174" s="20">
        <x:f t="shared" si="8"/>
        <x:v>26.579523168820725</x:v>
      </x:c>
      <x:c r="K174" s="5">
        <x:v>26.579523168820725</x:v>
      </x:c>
      <x:c r="L174" s="10">
        <x:v>4.5892866371829104</x:v>
      </x:c>
      <x:c r="M174"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74" s="1" t="s">
        <x:v>553</x:v>
      </x:c>
      <x:c r="O174" s="1">
        <x:v>994556842</x:v>
      </x:c>
      <x:c r="P174" s="1">
        <x:v>63.10096154</x:v>
      </x:c>
      <x:c r="Q174" s="7">
        <x:v>15.761357952834771</x:v>
      </x:c>
      <x:c r="R174" s="5">
        <x:v>15.761357952834771</x:v>
      </x:c>
      <x:c r="S174" s="15">
        <x:v>1.47</x:v>
      </x:c>
      <x:c r="T174" s="1" t="s">
        <x:v>422</x:v>
      </x:c>
      <x:c r="U174" s="1" t="s">
        <x:v>553</x:v>
      </x:c>
      <x:c r="V174">
        <x:v>0</x:v>
      </x:c>
      <x:c r="W174" s="17" t="s">
        <x:v>553</x:v>
      </x:c>
      <x:c r="X174" s="17">
        <x:f t="shared" si="9"/>
        <x:v>25873</x:v>
      </x:c>
      <x:c r="Y174" t="str">
        <x:f t="shared" si="10"/>
        <x:v>1 + 0.00 = 1.00</x:v>
      </x:c>
      <x:c r="Z174" t="str">
        <x:f t="shared" si="11"/>
        <x:v>1 + 26.58 = 27.58</x:v>
      </x:c>
    </x:row>
    <x:row r="175">
      <x:c r="A175" s="1" t="s">
        <x:v>554</x:v>
      </x:c>
      <x:c r="B175" s="1" t="s">
        <x:v>555</x:v>
      </x:c>
      <x:c r="C175" s="1" t="str">
        <x:v>Vanuatu (Vanuatu)</x:v>
      </x:c>
      <x:c r="D175" s="1" t="str">
        <x:v>46 autres pays</x:v>
      </x:c>
      <x:c r="E175" s="1">
        <x:v>30</x:v>
      </x:c>
      <x:c r="F175" s="1">
        <x:v>0.86904899999999996</x:v>
      </x:c>
      <x:c r="G175" s="2">
        <x:v>99322</x:v>
      </x:c>
      <x:c r="H175" s="1">
        <x:v>993220</x:v>
      </x:c>
      <x:c r="I175" s="4">
        <x:v>9047892.6314374004</x:v>
      </x:c>
      <x:c r="J175" s="20">
        <x:f t="shared" si="8"/>
        <x:v>10.411257168971371</x:v>
      </x:c>
      <x:c r="K175" s="5">
        <x:v>10.411257168971371</x:v>
      </x:c>
      <x:c r="L175" s="10">
        <x:v>4.5892866371829104</x:v>
      </x:c>
      <x:c r="M175"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75" s="1" t="s">
        <x:v>556</x:v>
      </x:c>
      <x:c r="O175" s="1">
        <x:v>9206950756</x:v>
      </x:c>
      <x:c r="P175" s="1">
        <x:v>956.33265570000003</x:v>
      </x:c>
      <x:c r="Q175" s="7">
        <x:v>9.6273516345218315</x:v>
      </x:c>
      <x:c r="R175" s="5">
        <x:v>9.6273516345218315</x:v>
      </x:c>
      <x:c r="S175" s="15">
        <x:v>1.47</x:v>
      </x:c>
      <x:c r="T175" s="1" t="s">
        <x:v>422</x:v>
      </x:c>
      <x:c r="U175" s="1" t="s">
        <x:v>556</x:v>
      </x:c>
      <x:c r="V175">
        <x:v>0.62</x:v>
      </x:c>
      <x:c r="W175" s="17" t="s">
        <x:v>556</x:v>
      </x:c>
      <x:c r="X175" s="17">
        <x:f t="shared" si="9"/>
        <x:v>869049</x:v>
      </x:c>
      <x:c r="Y175" t="str">
        <x:f t="shared" si="10"/>
        <x:v>1 + 0.71 = 1.71</x:v>
      </x:c>
      <x:c r="Z175" t="str">
        <x:f t="shared" si="11"/>
        <x:v>1 + 10.41 = 11.41</x:v>
      </x:c>
    </x:row>
    <x:row r="176">
      <x:c r="A176" s="1" t="s">
        <x:v>557</x:v>
      </x:c>
      <x:c r="B176" s="1" t="s">
        <x:v>558</x:v>
      </x:c>
      <x:c r="C176" s="1" t="str">
        <x:v>Yemen (Yémen)</x:v>
      </x:c>
      <x:c r="D176" s="1" t="str">
        <x:v>46 autres pays</x:v>
      </x:c>
      <x:c r="E176" s="1">
        <x:v>20</x:v>
      </x:c>
      <x:c r="F176" s="1">
        <x:v>25.26238</x:v>
      </x:c>
      <x:c r="G176" s="2">
        <x:v>1664486</x:v>
      </x:c>
      <x:c r="H176" s="1">
        <x:v>16644860</x:v>
      </x:c>
      <x:c r="I176" s="4">
        <x:v>106687828.42921722</x:v>
      </x:c>
      <x:c r="J176" s="20">
        <x:f t="shared" si="8"/>
        <x:v>4.2231899143792955</x:v>
      </x:c>
      <x:c r="K176" s="5">
        <x:v>4.2231899143792955</x:v>
      </x:c>
      <x:c r="L176" s="10">
        <x:v>4.5892866371829104</x:v>
      </x:c>
      <x:c r="M176"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76" s="1" t="s">
        <x:v>559</x:v>
      </x:c>
      <x:c r="O176" s="1">
        <x:v>154294523228</x:v>
      </x:c>
      <x:c r="P176" s="1">
        <x:v>21610</x:v>
      </x:c>
      <x:c r="Q176" s="7">
        <x:v>7.1399594274872742</x:v>
      </x:c>
      <x:c r="R176" s="5">
        <x:v>7.1399594274872742</x:v>
      </x:c>
      <x:c r="S176" s="15">
        <x:v>1.47</x:v>
      </x:c>
      <x:c r="T176" s="1" t="s">
        <x:v>422</x:v>
      </x:c>
      <x:c r="U176" s="1" t="s">
        <x:v>559</x:v>
      </x:c>
      <x:c r="V176">
        <x:v>0</x:v>
      </x:c>
      <x:c r="W176" s="17" t="s">
        <x:v>559</x:v>
      </x:c>
      <x:c r="X176" s="17">
        <x:f t="shared" si="9"/>
        <x:v>25262380</x:v>
      </x:c>
      <x:c r="Y176" t="str">
        <x:f t="shared" si="10"/>
        <x:v>1 + 0.00 = 1.00</x:v>
      </x:c>
      <x:c r="Z176" t="str">
        <x:f t="shared" si="11"/>
        <x:v>1 + 4.22 = 5.22</x:v>
      </x:c>
    </x:row>
    <x:row r="177" s="2" customFormat="1">
      <x:c r="A177" s="2" t="s">
        <x:v>560</x:v>
      </x:c>
      <x:c r="B177" s="2" t="s">
        <x:v>561</x:v>
      </x:c>
      <x:c r="C177" s="2" t="str">
        <x:v>Argentina (Argentine)</x:v>
      </x:c>
      <x:c r="D177" s="2" t="str">
        <x:v>20 principaux pays</x:v>
      </x:c>
      <x:c r="E177" s="2">
        <x:v>30</x:v>
      </x:c>
      <x:c r="F177" s="2">
        <x:v>369.05189999999999</x:v>
      </x:c>
      <x:c r="G177" s="2">
        <x:v>54460799</x:v>
      </x:c>
      <x:c r="H177" s="2">
        <x:v>544607990</x:v>
      </x:c>
      <x:c r="I177" s="2">
        <x:v>3490749925.1000514</x:v>
      </x:c>
      <x:c r="J177" s="20">
        <x:f t="shared" si="8"/>
        <x:v>9.458696527778482</x:v>
      </x:c>
      <x:c r="K177" s="5">
        <x:v>9.458696527778482</x:v>
      </x:c>
      <x:c r="L177" s="10">
        <x:v>3.8442277789341941</x:v>
      </x:c>
      <x:c r="M177"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77" s="2" t="s">
        <x:v>562</x:v>
      </x:c>
      <x:c r="O177" s="2">
        <x:v>5048407145702</x:v>
      </x:c>
      <x:c r="P177" s="2">
        <x:v>487227.33909999998</x:v>
      </x:c>
      <x:c r="Q177" s="2">
        <x:v>10.361502199419581</x:v>
      </x:c>
      <x:c r="R177" s="5">
        <x:v>10.361502199419581</x:v>
      </x:c>
      <x:c r="S177" s="15">
        <x:v>1.3</x:v>
      </x:c>
      <x:c r="T177" s="2" t="s">
        <x:v>563</x:v>
      </x:c>
      <x:c r="U177" s="2" t="s">
        <x:v>562</x:v>
      </x:c>
      <x:c r="V177">
        <x:v>57.97</x:v>
      </x:c>
      <x:c r="W177" s="17" t="s">
        <x:v>562</x:v>
      </x:c>
      <x:c r="X177" s="17">
        <x:f t="shared" si="9"/>
        <x:v>369051900</x:v>
      </x:c>
      <x:c r="Y177" t="str">
        <x:f t="shared" si="10"/>
        <x:v>1 + 0.16 = 1.16</x:v>
      </x:c>
      <x:c r="Z177" t="str">
        <x:f t="shared" si="11"/>
        <x:v>1 + 9.46 = 10.46</x:v>
      </x:c>
      <x:c r="AA177" s="1"/>
      <x:c r="AB177" s="1"/>
      <x:c r="AC177" s="1"/>
      <x:c r="AD177" s="1"/>
      <x:c r="AE177" s="1"/>
    </x:row>
    <x:row r="178">
      <x:c r="A178" s="1" t="s">
        <x:v>564</x:v>
      </x:c>
      <x:c r="B178" s="1" t="s">
        <x:v>565</x:v>
      </x:c>
      <x:c r="C178" s="1" t="str">
        <x:v>Australia (Australie)</x:v>
      </x:c>
      <x:c r="D178" s="1" t="str">
        <x:v>20 principaux pays</x:v>
      </x:c>
      <x:c r="E178" s="1">
        <x:v>20</x:v>
      </x:c>
      <x:c r="F178" s="1">
        <x:v>585.98119999999994</x:v>
      </x:c>
      <x:c r="G178" s="2">
        <x:v>23503238</x:v>
      </x:c>
      <x:c r="H178" s="1">
        <x:v>235032380</x:v>
      </x:c>
      <x:c r="I178" s="4">
        <x:v>1506476728.116102</x:v>
      </x:c>
      <x:c r="J178" s="20">
        <x:f t="shared" si="8"/>
        <x:v>2.5708618776781611</x:v>
      </x:c>
      <x:c r="K178" s="5">
        <x:v>2.5708618776781611</x:v>
      </x:c>
      <x:c r="L178" s="10">
        <x:v>3.8442277789341941</x:v>
      </x:c>
      <x:c r="M178"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78" s="1" t="s">
        <x:v>566</x:v>
      </x:c>
      <x:c r="O178" s="1">
        <x:v>2178703156124</x:v>
      </x:c>
      <x:c r="P178" s="1">
        <x:v>1552667.3629999999</x:v>
      </x:c>
      <x:c r="Q178" s="7">
        <x:v>1.4032002011779261</x:v>
      </x:c>
      <x:c r="R178" s="5">
        <x:v>1.4032002011779261</x:v>
      </x:c>
      <x:c r="S178" s="15">
        <x:v>1.3</x:v>
      </x:c>
      <x:c r="T178" s="1" t="s">
        <x:v>563</x:v>
      </x:c>
      <x:c r="U178" s="1" t="s">
        <x:v>566</x:v>
      </x:c>
      <x:c r="V178">
        <x:v>2.12</x:v>
      </x:c>
      <x:c r="W178" s="17" t="s">
        <x:v>566</x:v>
      </x:c>
      <x:c r="X178" s="17">
        <x:f t="shared" si="9"/>
        <x:v>585981200</x:v>
      </x:c>
      <x:c r="Y178" t="str">
        <x:f t="shared" si="10"/>
        <x:v>1 + 0.00 = 1.00</x:v>
      </x:c>
      <x:c r="Z178" t="str">
        <x:f t="shared" si="11"/>
        <x:v>1 + 2.57 = 3.57</x:v>
      </x:c>
    </x:row>
    <x:row r="179">
      <x:c r="A179" s="1" t="s">
        <x:v>567</x:v>
      </x:c>
      <x:c r="B179" s="1" t="s">
        <x:v>568</x:v>
      </x:c>
      <x:c r="C179" s="1" t="str">
        <x:v>Brazil (Brésil)</x:v>
      </x:c>
      <x:c r="D179" s="1" t="str">
        <x:v>20 principaux pays</x:v>
      </x:c>
      <x:c r="E179" s="1">
        <x:v>40</x:v>
      </x:c>
      <x:c r="F179" s="1">
        <x:v>1057.259</x:v>
      </x:c>
      <x:c r="G179" s="2">
        <x:v>218150298</x:v>
      </x:c>
      <x:c r="H179" s="1">
        <x:v>2181502980</x:v>
      </x:c>
      <x:c r="I179" s="4">
        <x:v>13982683882.475796</x:v>
      </x:c>
      <x:c r="J179" s="20">
        <x:f t="shared" si="8"/>
        <x:v>13.225410124175625</x:v>
      </x:c>
      <x:c r="K179" s="5">
        <x:v>13.225410124175625</x:v>
      </x:c>
      <x:c r="L179" s="10">
        <x:v>3.8442277789341941</x:v>
      </x:c>
      <x:c r="M179"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79" s="1" t="s">
        <x:v>569</x:v>
      </x:c>
      <x:c r="O179" s="1">
        <x:v>20222096324004</x:v>
      </x:c>
      <x:c r="P179" s="1">
        <x:v>1608981.456</x:v>
      </x:c>
      <x:c r="Q179" s="7">
        <x:v>12.568259409450894</x:v>
      </x:c>
      <x:c r="R179" s="5">
        <x:v>12.568259409450894</x:v>
      </x:c>
      <x:c r="S179" s="15">
        <x:v>1.3</x:v>
      </x:c>
      <x:c r="T179" s="1" t="s">
        <x:v>563</x:v>
      </x:c>
      <x:c r="U179" s="1" t="s">
        <x:v>569</x:v>
      </x:c>
      <x:c r="V179">
        <x:v>679.97</x:v>
      </x:c>
      <x:c r="W179" s="17" t="s">
        <x:v>569</x:v>
      </x:c>
      <x:c r="X179" s="17">
        <x:f t="shared" si="9"/>
        <x:v>1057259000</x:v>
      </x:c>
      <x:c r="Y179" t="str">
        <x:f t="shared" si="10"/>
        <x:v>1 + 0.64 = 1.64</x:v>
      </x:c>
      <x:c r="Z179" t="str">
        <x:f t="shared" si="11"/>
        <x:v>1 + 13.23 = 14.23</x:v>
      </x:c>
    </x:row>
    <x:row r="180">
      <x:c r="A180" s="1" t="s">
        <x:v>570</x:v>
      </x:c>
      <x:c r="B180" s="1" t="s">
        <x:v>571</x:v>
      </x:c>
      <x:c r="C180" s="1" t="str">
        <x:v>Canada (Canada)</x:v>
      </x:c>
      <x:c r="D180" s="1" t="str">
        <x:v>20 principaux pays</x:v>
      </x:c>
      <x:c r="E180" s="1">
        <x:v>10</x:v>
      </x:c>
      <x:c r="F180" s="1">
        <x:v>736.92819999999995</x:v>
      </x:c>
      <x:c r="G180" s="2">
        <x:v>11265000</x:v>
      </x:c>
      <x:c r="H180" s="1">
        <x:v>112650000</x:v>
      </x:c>
      <x:c r="I180" s="4">
        <x:v>1330357759.6417944</x:v>
      </x:c>
      <x:c r="J180" s="20">
        <x:f t="shared" si="8"/>
        <x:v>1.805274597500536</x:v>
      </x:c>
      <x:c r="K180" s="5">
        <x:v>1.805274597500536</x:v>
      </x:c>
      <x:c r="L180" s="10">
        <x:v>3.8442277789341941</x:v>
      </x:c>
      <x:c r="M180"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80" s="1" t="s">
        <x:v>572</x:v>
      </x:c>
      <x:c r="O180" s="1">
        <x:v>1044242970000</x:v>
      </x:c>
      <x:c r="P180" s="1">
        <x:v>1988336.3319999999</x:v>
      </x:c>
      <x:c r="Q180" s="7">
        <x:v>0.52518427249661104</x:v>
      </x:c>
      <x:c r="R180" s="5">
        <x:v>0.52518427249661104</x:v>
      </x:c>
      <x:c r="S180" s="15">
        <x:v>1.3</x:v>
      </x:c>
      <x:c r="T180" s="1" t="s">
        <x:v>563</x:v>
      </x:c>
      <x:c r="U180" s="1" t="s">
        <x:v>572</x:v>
      </x:c>
      <x:c r="V180">
        <x:v>163.34</x:v>
      </x:c>
      <x:c r="W180" s="17" t="s">
        <x:v>572</x:v>
      </x:c>
      <x:c r="X180" s="17">
        <x:f t="shared" si="9"/>
        <x:v>736928200</x:v>
      </x:c>
      <x:c r="Y180" t="str">
        <x:f t="shared" si="10"/>
        <x:v>1 + 0.22 = 1.22</x:v>
      </x:c>
      <x:c r="Z180" t="str">
        <x:f t="shared" si="11"/>
        <x:v>1 + 1.81 = 2.81</x:v>
      </x:c>
    </x:row>
    <x:row r="181">
      <x:c r="A181" s="1" t="s">
        <x:v>573</x:v>
      </x:c>
      <x:c r="B181" s="1" t="s">
        <x:v>574</x:v>
      </x:c>
      <x:c r="C181" s="1" t="str">
        <x:v>India (Inde)</x:v>
      </x:c>
      <x:c r="D181" s="1" t="str">
        <x:v>20 principaux pays</x:v>
      </x:c>
      <x:c r="E181" s="1">
        <x:v>30</x:v>
      </x:c>
      <x:c r="F181" s="1">
        <x:v>3394.8719999999998</x:v>
      </x:c>
      <x:c r="G181" s="2">
        <x:v>194482355</x:v>
      </x:c>
      <x:c r="H181" s="1">
        <x:v>1944823550</x:v>
      </x:c>
      <x:c r="I181" s="4">
        <x:v>22967697300.280529</x:v>
      </x:c>
      <x:c r="J181" s="20">
        <x:f t="shared" si="8"/>
        <x:v>6.7654089168252964</x:v>
      </x:c>
      <x:c r="K181" s="5">
        <x:v>6.7654089168252964</x:v>
      </x:c>
      <x:c r="L181" s="10">
        <x:v>3.8442277789341941</x:v>
      </x:c>
      <x:c r="M18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81" s="1" t="s">
        <x:v>575</x:v>
      </x:c>
      <x:c r="O181" s="1">
        <x:v>18028125343790</x:v>
      </x:c>
      <x:c r="P181" s="1">
        <x:v>3176295.0649999999</x:v>
      </x:c>
      <x:c r="Q181" s="7">
        <x:v>5.6758345729413522</x:v>
      </x:c>
      <x:c r="R181" s="5">
        <x:v>5.6758345729413522</x:v>
      </x:c>
      <x:c r="S181" s="15">
        <x:v>1.3</x:v>
      </x:c>
      <x:c r="T181" s="1" t="s">
        <x:v>563</x:v>
      </x:c>
      <x:c r="U181" s="1" t="s">
        <x:v>575</x:v>
      </x:c>
      <x:c r="V181">
        <x:v>-121.31</x:v>
      </x:c>
      <x:c r="W181" s="17" t="s">
        <x:v>575</x:v>
      </x:c>
      <x:c r="X181" s="17">
        <x:f t="shared" si="9"/>
        <x:v>3394872000</x:v>
      </x:c>
      <x:c r="Y181" t="str">
        <x:f t="shared" si="10"/>
        <x:v>1 + -0.04 = 0.96</x:v>
      </x:c>
      <x:c r="Z181" t="str">
        <x:f t="shared" si="11"/>
        <x:v>1 + 6.77 = 7.77</x:v>
      </x:c>
    </x:row>
    <x:row r="182">
      <x:c r="A182" s="1" t="s">
        <x:v>576</x:v>
      </x:c>
      <x:c r="B182" s="1" t="s">
        <x:v>577</x:v>
      </x:c>
      <x:c r="C182" s="1" t="str">
        <x:v>Indonesia (Indonésie)</x:v>
      </x:c>
      <x:c r="D182" s="1" t="str">
        <x:v>20 principaux pays</x:v>
      </x:c>
      <x:c r="E182" s="1">
        <x:v>40</x:v>
      </x:c>
      <x:c r="F182" s="1">
        <x:v>1002.369</x:v>
      </x:c>
      <x:c r="G182" s="2">
        <x:v>17466792</x:v>
      </x:c>
      <x:c r="H182" s="1">
        <x:v>174667920</x:v>
      </x:c>
      <x:c r="I182" s="4">
        <x:v>1591164682.8663309</x:v>
      </x:c>
      <x:c r="J182" s="20">
        <x:f t="shared" si="8"/>
        <x:v>1.5874041225001281</x:v>
      </x:c>
      <x:c r="K182" s="5">
        <x:v>1.5874041225001281</x:v>
      </x:c>
      <x:c r="L182" s="10">
        <x:v>3.8442277789341941</x:v>
      </x:c>
      <x:c r="M18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82" s="1" t="s">
        <x:v>578</x:v>
      </x:c>
      <x:c r="O182" s="1">
        <x:v>1619136684816</x:v>
      </x:c>
      <x:c r="P182" s="1">
        <x:v>1186092.9909999999</x:v>
      </x:c>
      <x:c r="Q182" s="7">
        <x:v>1.3651009635010987</x:v>
      </x:c>
      <x:c r="R182" s="5">
        <x:v>1.3651009635010987</x:v>
      </x:c>
      <x:c r="S182" s="15">
        <x:v>1.3</x:v>
      </x:c>
      <x:c r="T182" s="1" t="s">
        <x:v>563</x:v>
      </x:c>
      <x:c r="U182" s="1" t="s">
        <x:v>578</x:v>
      </x:c>
      <x:c r="V182">
        <x:v>455.54</x:v>
      </x:c>
      <x:c r="W182" s="17" t="s">
        <x:v>578</x:v>
      </x:c>
      <x:c r="X182" s="17">
        <x:f t="shared" si="9"/>
        <x:v>1002369000</x:v>
      </x:c>
      <x:c r="Y182" t="str">
        <x:f t="shared" si="10"/>
        <x:v>1 + 0.45 = 1.45</x:v>
      </x:c>
      <x:c r="Z182" t="str">
        <x:f t="shared" si="11"/>
        <x:v>1 + 1.59 = 2.59</x:v>
      </x:c>
    </x:row>
    <x:row r="183">
      <x:c r="A183" s="1" t="s">
        <x:v>579</x:v>
      </x:c>
      <x:c r="B183" s="1" t="s">
        <x:v>580</x:v>
      </x:c>
      <x:c r="C183" s="1" t="str">
        <x:v>Japan (Japon)</x:v>
      </x:c>
      <x:c r="D183" s="1" t="str">
        <x:v>20 principaux pays</x:v>
      </x:c>
      <x:c r="E183" s="1">
        <x:v>10</x:v>
      </x:c>
      <x:c r="F183" s="1">
        <x:v>1166.51</x:v>
      </x:c>
      <x:c r="G183" s="2">
        <x:v>3907000</x:v>
      </x:c>
      <x:c r="H183" s="1">
        <x:v>39070000</x:v>
      </x:c>
      <x:c r="I183" s="4">
        <x:v>250425263.8189517</x:v>
      </x:c>
      <x:c r="J183" s="20">
        <x:f t="shared" si="8"/>
        <x:v>0.21467905446070046</x:v>
      </x:c>
      <x:c r="K183" s="5">
        <x:v>0.21467905446070046</x:v>
      </x:c>
      <x:c r="L183" s="10">
        <x:v>3.8442277789341941</x:v>
      </x:c>
      <x:c r="M183" s="1" t="str">
        <x:v>L’administration devrait pleinement reconnaître que le coût réel de l’agriculture animale est extrêmement élevé. Promouvoir activement les protéines végétales est impératif : cela peut constituer un puissant catalyseur pour la résilience économique nationale, la santé publique et l’ambition de transformer les déserts arides en oasis prospères, tout en contribuant à créer de nouvelles sources de revenus durables.</x:v>
      </x:c>
      <x:c r="N183" s="1" t="s">
        <x:v>581</x:v>
      </x:c>
      <x:c r="O183" s="1">
        <x:v>362171086000</x:v>
      </x:c>
      <x:c r="P183" s="1">
        <x:v>4940877.7810000004</x:v>
      </x:c>
      <x:c r="Q183" s="7">
        <x:v>7.3300960285380509E-2</x:v>
      </x:c>
      <x:c r="R183" s="5">
        <x:v>7.3300960285380509E-2</x:v>
      </x:c>
      <x:c r="S183" s="15">
        <x:v>1.3</x:v>
      </x:c>
      <x:c r="T183" s="1" t="s">
        <x:v>563</x:v>
      </x:c>
      <x:c r="U183" s="1" t="s">
        <x:v>581</x:v>
      </x:c>
      <x:c r="V183">
        <x:v>-60.04</x:v>
      </x:c>
      <x:c r="W183" s="17" t="s">
        <x:v>581</x:v>
      </x:c>
      <x:c r="X183" s="17">
        <x:f t="shared" si="9"/>
        <x:v>1166510000</x:v>
      </x:c>
      <x:c r="Y183" t="str">
        <x:f t="shared" si="10"/>
        <x:v>1 + -0.05 = 0.95</x:v>
      </x:c>
      <x:c r="Z183" t="str">
        <x:f t="shared" si="11"/>
        <x:v>1 + 0.21 = 1.21</x:v>
      </x:c>
    </x:row>
    <x:row r="184">
      <x:c r="A184" s="1" t="s">
        <x:v>582</x:v>
      </x:c>
      <x:c r="B184" s="1" t="s">
        <x:v>583</x:v>
      </x:c>
      <x:c r="C184" s="1" t="str">
        <x:v>Mexico (Mexique)</x:v>
      </x:c>
      <x:c r="D184" s="1" t="str">
        <x:v>20 principaux pays</x:v>
      </x:c>
      <x:c r="E184" s="1">
        <x:v>30</x:v>
      </x:c>
      <x:c r="F184" s="1">
        <x:v>653.87300000000005</x:v>
      </x:c>
      <x:c r="G184" s="2">
        <x:v>35639209</x:v>
      </x:c>
      <x:c r="H184" s="1">
        <x:v>356392090</x:v>
      </x:c>
      <x:c r="I184" s="4">
        <x:v>3246609376.5868335</x:v>
      </x:c>
      <x:c r="J184" s="20">
        <x:f t="shared" si="8"/>
        <x:v>4.9651987107386812</x:v>
      </x:c>
      <x:c r="K184" s="5">
        <x:v>4.9651987107386812</x:v>
      </x:c>
      <x:c r="L184" s="10">
        <x:v>3.8442277789341941</x:v>
      </x:c>
      <x:c r="M184"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84" s="1" t="s">
        <x:v>101</x:v>
      </x:c>
      <x:c r="O184" s="1">
        <x:v>3303683395882</x:v>
      </x:c>
      <x:c r="P184" s="1">
        <x:v>1272839.334</x:v>
      </x:c>
      <x:c r="Q184" s="7">
        <x:v>2.5955227086673296</x:v>
      </x:c>
      <x:c r="R184" s="5">
        <x:v>2.5955227086673296</x:v>
      </x:c>
      <x:c r="S184" s="15">
        <x:v>1.3</x:v>
      </x:c>
      <x:c r="T184" s="1" t="s">
        <x:v>563</x:v>
      </x:c>
      <x:c r="U184" s="1" t="s">
        <x:v>101</x:v>
      </x:c>
      <x:c r="V184">
        <x:v>-0.01</x:v>
      </x:c>
      <x:c r="W184" s="17" t="s">
        <x:v>494</x:v>
      </x:c>
      <x:c r="X184" s="17">
        <x:f t="shared" si="9"/>
        <x:v>653873000</x:v>
      </x:c>
      <x:c r="Y184" t="str">
        <x:f t="shared" si="10"/>
        <x:v>1 + 0.00 = 1.00</x:v>
      </x:c>
      <x:c r="Z184" t="str">
        <x:f t="shared" si="11"/>
        <x:v>1 + 4.97 = 5.97</x:v>
      </x:c>
    </x:row>
    <x:row r="185">
      <x:c r="A185" s="1" t="s">
        <x:v>584</x:v>
      </x:c>
      <x:c r="B185" s="1" t="s">
        <x:v>585</x:v>
      </x:c>
      <x:c r="C185" s="1" t="str">
        <x:v>Pakistan (Pakistan)</x:v>
      </x:c>
      <x:c r="D185" s="1" t="str">
        <x:v>20 principaux pays</x:v>
      </x:c>
      <x:c r="E185" s="1">
        <x:v>20</x:v>
      </x:c>
      <x:c r="F185" s="1">
        <x:v>432.49610000000001</x:v>
      </x:c>
      <x:c r="G185" s="2">
        <x:v>49624000</x:v>
      </x:c>
      <x:c r="H185" s="1">
        <x:v>496240000</x:v>
      </x:c>
      <x:c r="I185" s="4">
        <x:v>4520575742.9617767</x:v>
      </x:c>
      <x:c r="J185" s="20">
        <x:f t="shared" si="8"/>
        <x:v>10.452292501508746</x:v>
      </x:c>
      <x:c r="K185" s="5">
        <x:v>10.452292501508746</x:v>
      </x:c>
      <x:c r="L185" s="10">
        <x:v>3.8442277789341941</x:v>
      </x:c>
      <x:c r="M185"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85" s="1" t="s">
        <x:v>586</x:v>
      </x:c>
      <x:c r="O185" s="1">
        <x:v>4600045552000</x:v>
      </x:c>
      <x:c r="P185" s="1">
        <x:v>348262.54470000003</x:v>
      </x:c>
      <x:c r="Q185" s="7">
        <x:v>13.208556653609039</x:v>
      </x:c>
      <x:c r="R185" s="5">
        <x:v>13.208556653609039</x:v>
      </x:c>
      <x:c r="S185" s="15">
        <x:v>1.3</x:v>
      </x:c>
      <x:c r="T185" s="1" t="s">
        <x:v>563</x:v>
      </x:c>
      <x:c r="U185" s="1" t="s">
        <x:v>586</x:v>
      </x:c>
      <x:c r="V185">
        <x:v>-4.0999999999999996</x:v>
      </x:c>
      <x:c r="W185" s="17" t="s">
        <x:v>586</x:v>
      </x:c>
      <x:c r="X185" s="17">
        <x:f t="shared" si="9"/>
        <x:v>432496100</x:v>
      </x:c>
      <x:c r="Y185" t="str">
        <x:f t="shared" si="10"/>
        <x:v>1 + -0.01 = 0.99</x:v>
      </x:c>
      <x:c r="Z185" t="str">
        <x:f t="shared" si="11"/>
        <x:v>1 + 10.45 = 11.45</x:v>
      </x:c>
    </x:row>
    <x:row r="186">
      <x:c r="A186" s="1" t="s">
        <x:v>587</x:v>
      </x:c>
      <x:c r="B186" s="1" t="s">
        <x:v>588</x:v>
      </x:c>
      <x:c r="C186" s="1" t="str">
        <x:v>Russia (Russie)</x:v>
      </x:c>
      <x:c r="D186" s="1" t="str">
        <x:v>20 principaux pays</x:v>
      </x:c>
      <x:c r="E186" s="1">
        <x:v>10</x:v>
      </x:c>
      <x:c r="F186" s="1">
        <x:v>2476.835</x:v>
      </x:c>
      <x:c r="G186" s="2">
        <x:v>18126003</x:v>
      </x:c>
      <x:c r="H186" s="1">
        <x:v>181260030</x:v>
      </x:c>
      <x:c r="I186" s="4">
        <x:v>1161814456.938344</x:v>
      </x:c>
      <x:c r="J186" s="20">
        <x:f t="shared" si="8"/>
        <x:v>0.46907220583460102</x:v>
      </x:c>
      <x:c r="K186" s="5">
        <x:v>0.46907220583460102</x:v>
      </x:c>
      <x:c r="L186" s="10">
        <x:v>3.8442277789341941</x:v>
      </x:c>
      <x:c r="M186"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86" s="1" t="s">
        <x:v>589</x:v>
      </x:c>
      <x:c r="O186" s="1">
        <x:v>1680244226094</x:v>
      </x:c>
      <x:c r="P186" s="1">
        <x:v>1778782.6259999999</x:v>
      </x:c>
      <x:c r="Q186" s="7">
        <x:v>0.94460346167896514</x:v>
      </x:c>
      <x:c r="R186" s="5">
        <x:v>0.94460346167896514</x:v>
      </x:c>
      <x:c r="S186" s="15">
        <x:v>1.3</x:v>
      </x:c>
      <x:c r="T186" s="1" t="s">
        <x:v>563</x:v>
      </x:c>
      <x:c r="U186" s="1" t="s">
        <x:v>589</x:v>
      </x:c>
      <x:c r="V186">
        <x:v>-794.82</x:v>
      </x:c>
      <x:c r="W186" s="17" t="s">
        <x:v>589</x:v>
      </x:c>
      <x:c r="X186" s="17">
        <x:f t="shared" si="9"/>
        <x:v>2476835000</x:v>
      </x:c>
      <x:c r="Y186" t="str">
        <x:f t="shared" si="10"/>
        <x:v>1 + -0.32 = 0.68</x:v>
      </x:c>
      <x:c r="Z186" t="str">
        <x:f t="shared" si="11"/>
        <x:v>1 + 0.47 = 1.47</x:v>
      </x:c>
    </x:row>
    <x:row r="187">
      <x:c r="A187" s="1" t="s">
        <x:v>590</x:v>
      </x:c>
      <x:c r="B187" s="1" t="s">
        <x:v>591</x:v>
      </x:c>
      <x:c r="C187" s="1" t="str">
        <x:v>South Africa (Afrique du Sud)</x:v>
      </x:c>
      <x:c r="D187" s="1" t="str">
        <x:v>20 principaux pays</x:v>
      </x:c>
      <x:c r="E187" s="1">
        <x:v>20</x:v>
      </x:c>
      <x:c r="F187" s="1">
        <x:v>555.43169999999998</x:v>
      </x:c>
      <x:c r="G187" s="2">
        <x:v>12297621</x:v>
      </x:c>
      <x:c r="H187" s="1">
        <x:v>122976210</x:v>
      </x:c>
      <x:c r="I187" s="4">
        <x:v>456199447.55604827</x:v>
      </x:c>
      <x:c r="J187" s="20">
        <x:f t="shared" si="8"/>
        <x:v>0.82134211561214143</x:v>
      </x:c>
      <x:c r="K187" s="5">
        <x:v>0.82134211561214143</x:v>
      </x:c>
      <x:c r="L187" s="10">
        <x:v>3.8442277789341941</x:v>
      </x:c>
      <x:c r="M187"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87" s="1" t="s">
        <x:v>592</x:v>
      </x:c>
      <x:c r="O187" s="1">
        <x:v>1139964871458</x:v>
      </x:c>
      <x:c r="P187" s="1">
        <x:v>419015.0184</x:v>
      </x:c>
      <x:c r="Q187" s="7">
        <x:v>2.7205823691258892</x:v>
      </x:c>
      <x:c r="R187" s="5">
        <x:v>2.7205823691258892</x:v>
      </x:c>
      <x:c r="S187" s="15">
        <x:v>1.3</x:v>
      </x:c>
      <x:c r="T187" s="1" t="s">
        <x:v>563</x:v>
      </x:c>
      <x:c r="U187" s="1" t="s">
        <x:v>592</x:v>
      </x:c>
      <x:c r="V187">
        <x:v>47.22</x:v>
      </x:c>
      <x:c r="W187" s="17" t="s">
        <x:v>592</x:v>
      </x:c>
      <x:c r="X187" s="17">
        <x:f t="shared" si="9"/>
        <x:v>555431700</x:v>
      </x:c>
      <x:c r="Y187" t="str">
        <x:f t="shared" si="10"/>
        <x:v>1 + 0.09 = 1.09</x:v>
      </x:c>
      <x:c r="Z187" t="str">
        <x:f t="shared" si="11"/>
        <x:v>1 + 0.82 = 1.82</x:v>
      </x:c>
    </x:row>
    <x:row r="188">
      <x:c r="A188" s="1" t="s">
        <x:v>593</x:v>
      </x:c>
      <x:c r="B188" s="1" t="s">
        <x:v>594</x:v>
      </x:c>
      <x:c r="C188" s="1" t="str">
        <x:v>South Korea (Corée du Sud)</x:v>
      </x:c>
      <x:c r="D188" s="1" t="str">
        <x:v>20 principaux pays</x:v>
      </x:c>
      <x:c r="E188" s="1">
        <x:v>10</x:v>
      </x:c>
      <x:c r="F188" s="1">
        <x:v>698.45770000000005</x:v>
      </x:c>
      <x:c r="G188" s="2">
        <x:v>3804976</x:v>
      </x:c>
      <x:c r="H188" s="1">
        <x:v>38049760</x:v>
      </x:c>
      <x:c r="I188" s="4">
        <x:v>243885876.27969787</x:v>
      </x:c>
      <x:c r="J188" s="20">
        <x:f t="shared" si="8"/>
        <x:v>0.34917773299613974</x:v>
      </x:c>
      <x:c r="K188" s="5">
        <x:v>0.34917773299613974</x:v>
      </x:c>
      <x:c r="L188" s="10">
        <x:v>3.8442277789341941</x:v>
      </x:c>
      <x:c r="M188"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88" s="1" t="s">
        <x:v>595</x:v>
      </x:c>
      <x:c r="O188" s="1">
        <x:v>352713665248</x:v>
      </x:c>
      <x:c r="P188" s="1">
        <x:v>1810955.871</x:v>
      </x:c>
      <x:c r="Q188" s="7">
        <x:v>0.19476657101160252</x:v>
      </x:c>
      <x:c r="R188" s="5">
        <x:v>0.19476657101160252</x:v>
      </x:c>
      <x:c r="S188" s="15">
        <x:v>1.3</x:v>
      </x:c>
      <x:c r="T188" s="1" t="s">
        <x:v>563</x:v>
      </x:c>
      <x:c r="U188" s="1" t="s">
        <x:v>595</x:v>
      </x:c>
      <x:c r="V188">
        <x:v>-48.06</x:v>
      </x:c>
      <x:c r="W188" s="17" t="s">
        <x:v>595</x:v>
      </x:c>
      <x:c r="X188" s="17">
        <x:f t="shared" si="9"/>
        <x:v>698457700</x:v>
      </x:c>
      <x:c r="Y188" t="str">
        <x:f t="shared" si="10"/>
        <x:v>1 + -0.07 = 0.93</x:v>
      </x:c>
      <x:c r="Z188" t="str">
        <x:f t="shared" si="11"/>
        <x:v>1 + 0.35 = 1.35</x:v>
      </x:c>
    </x:row>
    <x:row r="189">
      <x:c r="A189" s="1" t="s">
        <x:v>596</x:v>
      </x:c>
      <x:c r="B189" s="1" t="s">
        <x:v>597</x:v>
      </x:c>
      <x:c r="C189" s="1" t="str">
        <x:v>Thailand (Thaïlande)</x:v>
      </x:c>
      <x:c r="D189" s="1" t="str">
        <x:v>20 principaux pays</x:v>
      </x:c>
      <x:c r="E189" s="1">
        <x:v>40</x:v>
      </x:c>
      <x:c r="F189" s="1">
        <x:v>422.08659999999998</x:v>
      </x:c>
      <x:c r="G189" s="2">
        <x:v>4641249</x:v>
      </x:c>
      <x:c r="H189" s="1">
        <x:v>46412490</x:v>
      </x:c>
      <x:c r="I189" s="4">
        <x:v>422801822.6351282</x:v>
      </x:c>
      <x:c r="J189" s="20">
        <x:f t="shared" si="8"/>
        <x:v>1.0016944926352274</x:v>
      </x:c>
      <x:c r="K189" s="5">
        <x:v>1.0016944926352274</x:v>
      </x:c>
      <x:c r="L189" s="10">
        <x:v>3.8442277789341941</x:v>
      </x:c>
      <x:c r="M189"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89" s="1" t="s">
        <x:v>598</x:v>
      </x:c>
      <x:c r="O189" s="1">
        <x:v>430234499802</x:v>
      </x:c>
      <x:c r="P189" s="1">
        <x:v>505947.03710000002</x:v>
      </x:c>
      <x:c r="Q189" s="7">
        <x:v>0.85035481632233478</x:v>
      </x:c>
      <x:c r="R189" s="5">
        <x:v>0.85035481632233478</x:v>
      </x:c>
      <x:c r="S189" s="15">
        <x:v>1.3</x:v>
      </x:c>
      <x:c r="T189" s="1" t="s">
        <x:v>563</x:v>
      </x:c>
      <x:c r="U189" s="1" t="s">
        <x:v>598</x:v>
      </x:c>
      <x:c r="V189">
        <x:v>-12.53</x:v>
      </x:c>
      <x:c r="W189" s="17" t="s">
        <x:v>598</x:v>
      </x:c>
      <x:c r="X189" s="17">
        <x:f t="shared" si="9"/>
        <x:v>422086600</x:v>
      </x:c>
      <x:c r="Y189" t="str">
        <x:f t="shared" si="10"/>
        <x:v>1 + -0.03 = 0.97</x:v>
      </x:c>
      <x:c r="Z189" t="str">
        <x:f t="shared" si="11"/>
        <x:v>1 + 1.00 = 2.00</x:v>
      </x:c>
    </x:row>
    <x:row r="190">
      <x:c r="A190" s="1" t="s">
        <x:v>599</x:v>
      </x:c>
      <x:c r="B190" s="1" t="s">
        <x:v>600</x:v>
      </x:c>
      <x:c r="C190" s="1" t="str">
        <x:v>Turkey (Turquie)</x:v>
      </x:c>
      <x:c r="D190" s="1" t="str">
        <x:v>20 principaux pays</x:v>
      </x:c>
      <x:c r="E190" s="1">
        <x:v>20</x:v>
      </x:c>
      <x:c r="F190" s="1">
        <x:v>488.47160000000002</x:v>
      </x:c>
      <x:c r="G190" s="2">
        <x:v>17965482</x:v>
      </x:c>
      <x:c r="H190" s="1">
        <x:v>179654820</x:v>
      </x:c>
      <x:c r="I190" s="4">
        <x:v>666457598.87039375</x:v>
      </x:c>
      <x:c r="J190" s="20">
        <x:f t="shared" si="8"/>
        <x:v>1.3643732795732522</x:v>
      </x:c>
      <x:c r="K190" s="5">
        <x:v>1.3643732795732522</x:v>
      </x:c>
      <x:c r="L190" s="10">
        <x:v>3.8442277789341941</x:v>
      </x:c>
      <x:c r="M190"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90" s="1" t="s">
        <x:v>601</x:v>
      </x:c>
      <x:c r="O190" s="1">
        <x:v>1665364250436</x:v>
      </x:c>
      <x:c r="P190" s="1">
        <x:v>819035.18290000001</x:v>
      </x:c>
      <x:c r="Q190" s="7">
        <x:v>2.0333244349032227</x:v>
      </x:c>
      <x:c r="R190" s="5">
        <x:v>2.0333244349032227</x:v>
      </x:c>
      <x:c r="S190" s="15">
        <x:v>1.3</x:v>
      </x:c>
      <x:c r="T190" s="1" t="s">
        <x:v>563</x:v>
      </x:c>
      <x:c r="U190" s="1" t="s">
        <x:v>601</x:v>
      </x:c>
      <x:c r="V190">
        <x:v>10.26</x:v>
      </x:c>
      <x:c r="W190" s="17" t="s">
        <x:v>601</x:v>
      </x:c>
      <x:c r="X190" s="17">
        <x:f t="shared" si="9"/>
        <x:v>488471600</x:v>
      </x:c>
      <x:c r="Y190" t="str">
        <x:f t="shared" si="10"/>
        <x:v>1 + 0.02 = 1.02</x:v>
      </x:c>
      <x:c r="Z190" t="str">
        <x:f t="shared" si="11"/>
        <x:v>1 + 1.36 = 2.36</x:v>
      </x:c>
    </x:row>
    <x:row r="191">
      <x:c r="A191" s="1" t="s">
        <x:v>602</x:v>
      </x:c>
      <x:c r="B191" s="1" t="s">
        <x:v>603</x:v>
      </x:c>
      <x:c r="C191" s="1" t="str">
        <x:v>Ukraine (Ukraine)</x:v>
      </x:c>
      <x:c r="D191" s="1" t="str">
        <x:v>20 principaux pays</x:v>
      </x:c>
      <x:c r="E191" s="1">
        <x:v>10</x:v>
      </x:c>
      <x:c r="F191" s="1">
        <x:v>233.26419999999999</x:v>
      </x:c>
      <x:c r="G191" s="2">
        <x:v>3092000</x:v>
      </x:c>
      <x:c r="H191" s="1">
        <x:v>30920000</x:v>
      </x:c>
      <x:c r="I191" s="4">
        <x:v>281670566.60563064</x:v>
      </x:c>
      <x:c r="J191" s="20">
        <x:f t="shared" si="8"/>
        <x:v>1.2075173413049693</x:v>
      </x:c>
      <x:c r="K191" s="5">
        <x:v>1.2075173413049693</x:v>
      </x:c>
      <x:c r="L191" s="10">
        <x:v>3.8442277789341941</x:v>
      </x:c>
      <x:c r="M191"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91" s="1" t="s">
        <x:v>604</x:v>
      </x:c>
      <x:c r="O191" s="1">
        <x:v>286622216000</x:v>
      </x:c>
      <x:c r="P191" s="1">
        <x:v>200085.53769999999</x:v>
      </x:c>
      <x:c r="Q191" s="7">
        <x:v>1.4324984169008232</x:v>
      </x:c>
      <x:c r="R191" s="5">
        <x:v>1.4324984169008232</x:v>
      </x:c>
      <x:c r="S191" s="15">
        <x:v>1.3</x:v>
      </x:c>
      <x:c r="T191" s="1" t="s">
        <x:v>563</x:v>
      </x:c>
      <x:c r="U191" s="1" t="s">
        <x:v>604</x:v>
      </x:c>
      <x:c r="V191">
        <x:v>-13.67</x:v>
      </x:c>
      <x:c r="W191" s="17" t="s">
        <x:v>604</x:v>
      </x:c>
      <x:c r="X191" s="17">
        <x:f t="shared" si="9"/>
        <x:v>233264200</x:v>
      </x:c>
      <x:c r="Y191" t="str">
        <x:f t="shared" si="10"/>
        <x:v>1 + -0.06 = 0.94</x:v>
      </x:c>
      <x:c r="Z191" t="str">
        <x:f t="shared" si="11"/>
        <x:v>1 + 1.21 = 2.21</x:v>
      </x:c>
    </x:row>
    <x:row r="192">
      <x:c r="A192" s="1" t="s">
        <x:v>605</x:v>
      </x:c>
      <x:c r="B192" s="1" t="s">
        <x:v>606</x:v>
      </x:c>
      <x:c r="C192" s="1" t="str">
        <x:v>United Kingdom (Royaume-Uni)</x:v>
      </x:c>
      <x:c r="D192" s="1" t="str">
        <x:v>20 principaux pays</x:v>
      </x:c>
      <x:c r="E192" s="1">
        <x:v>10</x:v>
      </x:c>
      <x:c r="F192" s="1">
        <x:v>440.08269999999999</x:v>
      </x:c>
      <x:c r="G192" s="2">
        <x:v>9615000</x:v>
      </x:c>
      <x:c r="H192" s="1">
        <x:v>96150000</x:v>
      </x:c>
      <x:c r="I192" s="4">
        <x:v>356683433.99519348</x:v>
      </x:c>
      <x:c r="J192" s="20">
        <x:f t="shared" si="8"/>
        <x:v>0.81049183254691326</x:v>
      </x:c>
      <x:c r="K192" s="5">
        <x:v>0.81049183254691326</x:v>
      </x:c>
      <x:c r="L192" s="10">
        <x:v>3.8442277789341941</x:v>
      </x:c>
      <x:c r="M192"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92" s="1" t="s">
        <x:v>607</x:v>
      </x:c>
      <x:c r="O192" s="1">
        <x:v>891291270000</x:v>
      </x:c>
      <x:c r="P192" s="1">
        <x:v>3131377.7629999998</x:v>
      </x:c>
      <x:c r="Q192" s="7">
        <x:v>0.28463230483763258</x:v>
      </x:c>
      <x:c r="R192" s="5">
        <x:v>0.28463230483763258</x:v>
      </x:c>
      <x:c r="S192" s="15">
        <x:v>1.3</x:v>
      </x:c>
      <x:c r="T192" s="1" t="s">
        <x:v>563</x:v>
      </x:c>
      <x:c r="U192" s="1" t="s">
        <x:v>607</x:v>
      </x:c>
      <x:c r="V192">
        <x:v>22.82</x:v>
      </x:c>
      <x:c r="W192" s="17" t="s">
        <x:v>607</x:v>
      </x:c>
      <x:c r="X192" s="17">
        <x:f t="shared" si="9"/>
        <x:v>440082700</x:v>
      </x:c>
      <x:c r="Y192" t="str">
        <x:f t="shared" si="10"/>
        <x:v>1 + 0.05 = 1.05</x:v>
      </x:c>
      <x:c r="Z192" t="str">
        <x:f t="shared" si="11"/>
        <x:v>1 + 0.81 = 1.81</x:v>
      </x:c>
    </x:row>
    <x:row r="193">
      <x:c r="A193" s="1" t="s">
        <x:v>608</x:v>
      </x:c>
      <x:c r="B193" s="1" t="s">
        <x:v>609</x:v>
      </x:c>
      <x:c r="C193" s="1" t="str">
        <x:v>Vietnam (Viêt Nam)</x:v>
      </x:c>
      <x:c r="D193" s="1" t="str">
        <x:v>20 principaux pays</x:v>
      </x:c>
      <x:c r="E193" s="1">
        <x:v>30</x:v>
      </x:c>
      <x:c r="F193" s="1">
        <x:v>450.14929999999998</x:v>
      </x:c>
      <x:c r="G193" s="2">
        <x:v>6230519</x:v>
      </x:c>
      <x:c r="H193" s="1">
        <x:v>62305190</x:v>
      </x:c>
      <x:c r="I193" s="4">
        <x:v>399354841.13232434</x:v>
      </x:c>
      <x:c r="J193" s="20">
        <x:f t="shared" si="8"/>
        <x:v>0.8871608622568653</x:v>
      </x:c>
      <x:c r="K193" s="5">
        <x:v>0.8871608622568653</x:v>
      </x:c>
      <x:c r="L193" s="10">
        <x:v>3.8442277789341941</x:v>
      </x:c>
      <x:c r="M193"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93" s="1" t="s">
        <x:v>610</x:v>
      </x:c>
      <x:c r="O193" s="1">
        <x:v>577556650262</x:v>
      </x:c>
      <x:c r="P193" s="1">
        <x:v>366137.5906</x:v>
      </x:c>
      <x:c r="Q193" s="7">
        <x:v>1.5774306301506535</x:v>
      </x:c>
      <x:c r="R193" s="5">
        <x:v>1.5774306301506535</x:v>
      </x:c>
      <x:c r="S193" s="15">
        <x:v>1.3</x:v>
      </x:c>
      <x:c r="T193" s="1" t="s">
        <x:v>563</x:v>
      </x:c>
      <x:c r="U193" s="1" t="s">
        <x:v>610</x:v>
      </x:c>
      <x:c r="V193">
        <x:v>-176.85</x:v>
      </x:c>
      <x:c r="W193" s="17" t="s">
        <x:v>610</x:v>
      </x:c>
      <x:c r="X193" s="17">
        <x:f t="shared" si="9"/>
        <x:v>450149300</x:v>
      </x:c>
      <x:c r="Y193" t="str">
        <x:f t="shared" si="10"/>
        <x:v>1 + -0.39 = 0.61</x:v>
      </x:c>
      <x:c r="Z193" t="str">
        <x:f t="shared" si="11"/>
        <x:v>1 + 0.89 = 1.89</x:v>
      </x:c>
    </x:row>
    <x:row r="194">
      <x:c r="A194" s="1" t="s">
        <x:v>611</x:v>
      </x:c>
      <x:c r="B194" s="1" t="s">
        <x:v>612</x:v>
      </x:c>
      <x:c r="C194" s="1" t="str">
        <x:v>United States (États-Unis)</x:v>
      </x:c>
      <x:c r="D194" s="1" t="str">
        <x:v>États-Unis</x:v>
      </x:c>
      <x:c r="E194" s="1">
        <x:v>10</x:v>
      </x:c>
      <x:c r="F194" s="1">
        <x:v>6001.2089999999998</x:v>
      </x:c>
      <x:c r="G194" s="2">
        <x:v>93793300</x:v>
      </x:c>
      <x:c r="H194" s="1">
        <x:v>937933000</x:v>
      </x:c>
      <x:c r="I194" s="4">
        <x:v>8544247074.6480894</x:v>
      </x:c>
      <x:c r="J194" s="20">
        <x:f t="shared" si="8"/>
        <x:v>1.4237542926180524</x:v>
      </x:c>
      <x:c r="K194" s="5">
        <x:v>1.4237542926180524</x:v>
      </x:c>
      <x:c r="L194" s="10">
        <x:v>3.8442277789341941</x:v>
      </x:c>
      <x:c r="M194" s="1" t="str">
        <x:v>Le ratio élevé de l’impact du secteur de l’élevage sur les émissions nationales de CO₂ s’explique principalement par un niveau de production économique de référence plus faible, combiné à des émissions nationales totales de gaz à effet de serre plus faibles. Quel que soit le lieu où ils sont élevés, les bovins consomment des quantités comparables de ressources naturelles et d’aliments. Par conséquent, les nations économiquement défavorisées subissent des dommages comparatifs bien plus importants que les pays riches. Les gouvernements doivent reconnaître que les coûts économiques et environnementaux des régimes alimentaires fondés sur les produits d’origine animale sont extrêmement élevés, insoutenables et difficilement récupérables. La transition vers les protéines végétales est impérative.</x:v>
      </x:c>
      <x:c r="N194" s="1" t="s">
        <x:v>613</x:v>
      </x:c>
      <x:c r="O194" s="1">
        <x:v>8694451323400</x:v>
      </x:c>
      <x:c r="P194" s="1">
        <x:v>23315080.559999999</x:v>
      </x:c>
      <x:c r="Q194" s="7">
        <x:v>0.37291105647374184</x:v>
      </x:c>
      <x:c r="R194" s="5">
        <x:v>0.37291105647374184</x:v>
      </x:c>
      <x:c r="S194" s="15">
        <x:v>0.37</x:v>
      </x:c>
      <x:c r="T194" s="1" t="s">
        <x:v>611</x:v>
      </x:c>
      <x:c r="U194" s="1" t="s">
        <x:v>613</x:v>
      </x:c>
      <x:c r="V194">
        <x:v>-608.70000000000005</x:v>
      </x:c>
      <x:c r="W194" s="17" t="s">
        <x:v>613</x:v>
      </x:c>
      <x:c r="X194" s="17">
        <x:f t="shared" si="9"/>
        <x:v>6001209000</x:v>
      </x:c>
      <x:c r="Y194" t="str">
        <x:f t="shared" si="10"/>
        <x:v>1 + -0.10 = 0.90</x:v>
      </x:c>
      <x:c r="Z194" t="str">
        <x:f>"1 + " &amp; TEXT(I194/X194, "0.00") &amp; " = " &amp; TEXT(1 + (I194/X194), "0.00")</x:f>
        <x:v>1 + 1.42 = 2.42</x:v>
      </x:c>
    </x:row>
  </x:sheetData>
  <x:pageMargins left="0.7" right="0.7" top="0.75" bottom="0.75" header="0.3" footer="0.3"/>
</x:worksheet>
</file>